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v4946\Pictures\Logicstack\"/>
    </mc:Choice>
  </mc:AlternateContent>
  <xr:revisionPtr revIDLastSave="0" documentId="13_ncr:1_{2152BFC0-C223-4EFF-A9D4-085B0D1EDD6B}" xr6:coauthVersionLast="47" xr6:coauthVersionMax="47" xr10:uidLastSave="{00000000-0000-0000-0000-000000000000}"/>
  <bookViews>
    <workbookView xWindow="-120" yWindow="-120" windowWidth="20730" windowHeight="11040" xr2:uid="{CE392776-FA07-4512-BF6E-DCBE5DBEF9D9}"/>
  </bookViews>
  <sheets>
    <sheet name="Dataset Understanding" sheetId="1" r:id="rId1"/>
    <sheet name="Cleaned Data" sheetId="2" r:id="rId2"/>
    <sheet name="Data Quality Check" sheetId="3" r:id="rId3"/>
    <sheet name="Basic Analysis" sheetId="4" r:id="rId4"/>
    <sheet name="Filtering &amp; Sorting Screenshots" sheetId="5" r:id="rId5"/>
    <sheet name="Simple Category-Based Analysis" sheetId="8" r:id="rId6"/>
    <sheet name="Charts" sheetId="6" r:id="rId7"/>
    <sheet name="Observations" sheetId="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8" i="8" l="1"/>
  <c r="N7" i="8"/>
  <c r="K9" i="8"/>
  <c r="K8" i="8"/>
  <c r="K7" i="8"/>
  <c r="H9" i="8"/>
  <c r="H8" i="8"/>
  <c r="H7" i="8"/>
  <c r="N3" i="2" a="1"/>
  <c r="N3" i="2" s="1"/>
  <c r="N4" i="2" a="1"/>
  <c r="N4" i="2" s="1"/>
  <c r="N5" i="2" a="1"/>
  <c r="N5" i="2"/>
  <c r="N6" i="2" a="1"/>
  <c r="N6" i="2"/>
  <c r="N7" i="2" a="1"/>
  <c r="N7" i="2" s="1"/>
  <c r="N8" i="2" a="1"/>
  <c r="N8" i="2" s="1"/>
  <c r="N9" i="2" a="1"/>
  <c r="N9" i="2"/>
  <c r="N10" i="2" a="1"/>
  <c r="N10" i="2"/>
  <c r="N11" i="2" a="1"/>
  <c r="N11" i="2" s="1"/>
  <c r="N12" i="2" a="1"/>
  <c r="N12" i="2" s="1"/>
  <c r="N13" i="2" a="1"/>
  <c r="N13" i="2"/>
  <c r="N14" i="2" a="1"/>
  <c r="N14" i="2"/>
  <c r="N15" i="2" a="1"/>
  <c r="N15" i="2" s="1"/>
  <c r="N16" i="2" a="1"/>
  <c r="N16" i="2" s="1"/>
  <c r="N17" i="2" a="1"/>
  <c r="N17" i="2"/>
  <c r="N18" i="2" a="1"/>
  <c r="N18" i="2"/>
  <c r="N19" i="2" a="1"/>
  <c r="N19" i="2" s="1"/>
  <c r="N20" i="2" a="1"/>
  <c r="N20" i="2" s="1"/>
  <c r="N21" i="2" a="1"/>
  <c r="N21" i="2"/>
  <c r="N22" i="2" a="1"/>
  <c r="N22" i="2"/>
  <c r="N23" i="2" a="1"/>
  <c r="N23" i="2" s="1"/>
  <c r="N24" i="2" a="1"/>
  <c r="N24" i="2" s="1"/>
  <c r="N25" i="2" a="1"/>
  <c r="N25" i="2"/>
  <c r="N26" i="2" a="1"/>
  <c r="N26" i="2"/>
  <c r="N27" i="2" a="1"/>
  <c r="N27" i="2" s="1"/>
  <c r="N28" i="2" a="1"/>
  <c r="N28" i="2" s="1"/>
  <c r="N29" i="2" a="1"/>
  <c r="N29" i="2"/>
  <c r="N30" i="2" a="1"/>
  <c r="N30" i="2"/>
  <c r="N31" i="2" a="1"/>
  <c r="N31" i="2" s="1"/>
  <c r="N32" i="2" a="1"/>
  <c r="N32" i="2" s="1"/>
  <c r="N33" i="2" a="1"/>
  <c r="N33" i="2"/>
  <c r="N34" i="2" a="1"/>
  <c r="N34" i="2"/>
  <c r="N35" i="2" a="1"/>
  <c r="N35" i="2" s="1"/>
  <c r="N36" i="2" a="1"/>
  <c r="N36" i="2" s="1"/>
  <c r="N37" i="2" a="1"/>
  <c r="N37" i="2"/>
  <c r="N38" i="2" a="1"/>
  <c r="N38" i="2"/>
  <c r="N39" i="2" a="1"/>
  <c r="N39" i="2" s="1"/>
  <c r="N40" i="2" a="1"/>
  <c r="N40" i="2" s="1"/>
  <c r="N41" i="2" a="1"/>
  <c r="N41" i="2" s="1"/>
  <c r="N42" i="2" a="1"/>
  <c r="N42" i="2"/>
  <c r="N43" i="2" a="1"/>
  <c r="N43" i="2" s="1"/>
  <c r="N44" i="2" a="1"/>
  <c r="N44" i="2" s="1"/>
  <c r="N45" i="2" a="1"/>
  <c r="N45" i="2" s="1"/>
  <c r="N46" i="2" a="1"/>
  <c r="N46" i="2"/>
  <c r="N47" i="2" a="1"/>
  <c r="N47" i="2" s="1"/>
  <c r="N48" i="2" a="1"/>
  <c r="N48" i="2" s="1"/>
  <c r="N49" i="2" a="1"/>
  <c r="N49" i="2" s="1"/>
  <c r="N50" i="2" a="1"/>
  <c r="N50" i="2"/>
  <c r="N51" i="2" a="1"/>
  <c r="N51" i="2" s="1"/>
  <c r="N52" i="2" a="1"/>
  <c r="N52" i="2" s="1"/>
  <c r="N53" i="2" a="1"/>
  <c r="N53" i="2" s="1"/>
  <c r="N54" i="2" a="1"/>
  <c r="N54" i="2"/>
  <c r="N55" i="2" a="1"/>
  <c r="N55" i="2" s="1"/>
  <c r="N56" i="2" a="1"/>
  <c r="N56" i="2" s="1"/>
  <c r="N57" i="2" a="1"/>
  <c r="N57" i="2" s="1"/>
  <c r="N58" i="2" a="1"/>
  <c r="N58" i="2"/>
  <c r="N59" i="2" a="1"/>
  <c r="N59" i="2" s="1"/>
  <c r="N60" i="2" a="1"/>
  <c r="N60" i="2" s="1"/>
  <c r="N61" i="2" a="1"/>
  <c r="N61" i="2" s="1"/>
  <c r="N62" i="2" a="1"/>
  <c r="N62" i="2"/>
  <c r="N63" i="2" a="1"/>
  <c r="N63" i="2" s="1"/>
  <c r="N64" i="2" a="1"/>
  <c r="N64" i="2" s="1"/>
  <c r="N65" i="2" a="1"/>
  <c r="N65" i="2" s="1"/>
  <c r="N66" i="2" a="1"/>
  <c r="N66" i="2"/>
  <c r="N67" i="2" a="1"/>
  <c r="N67" i="2" s="1"/>
  <c r="N68" i="2" a="1"/>
  <c r="N68" i="2" s="1"/>
  <c r="N69" i="2" a="1"/>
  <c r="N69" i="2" s="1"/>
  <c r="N70" i="2" a="1"/>
  <c r="N70" i="2"/>
  <c r="N71" i="2" a="1"/>
  <c r="N71" i="2" s="1"/>
  <c r="N72" i="2" a="1"/>
  <c r="N72" i="2" s="1"/>
  <c r="N73" i="2" a="1"/>
  <c r="N73" i="2" s="1"/>
  <c r="N74" i="2" a="1"/>
  <c r="N74" i="2"/>
  <c r="N75" i="2" a="1"/>
  <c r="N75" i="2" s="1"/>
  <c r="N76" i="2" a="1"/>
  <c r="N76" i="2" s="1"/>
  <c r="N77" i="2" a="1"/>
  <c r="N77" i="2" s="1"/>
  <c r="N78" i="2" a="1"/>
  <c r="N78" i="2"/>
  <c r="N79" i="2" a="1"/>
  <c r="N79" i="2" s="1"/>
  <c r="N80" i="2" a="1"/>
  <c r="N80" i="2" s="1"/>
  <c r="N81" i="2" a="1"/>
  <c r="N81" i="2" s="1"/>
  <c r="N82" i="2" a="1"/>
  <c r="N82" i="2"/>
  <c r="N83" i="2" a="1"/>
  <c r="N83" i="2" s="1"/>
  <c r="N84" i="2" a="1"/>
  <c r="N84" i="2" s="1"/>
  <c r="N85" i="2" a="1"/>
  <c r="N85" i="2" s="1"/>
  <c r="N86" i="2" a="1"/>
  <c r="N86" i="2"/>
  <c r="N87" i="2" a="1"/>
  <c r="N87" i="2" s="1"/>
  <c r="N88" i="2" a="1"/>
  <c r="N88" i="2" s="1"/>
  <c r="N89" i="2" a="1"/>
  <c r="N89" i="2" s="1"/>
  <c r="N90" i="2" a="1"/>
  <c r="N90" i="2"/>
  <c r="N91" i="2" a="1"/>
  <c r="N91" i="2" s="1"/>
  <c r="N92" i="2" a="1"/>
  <c r="N92" i="2" s="1"/>
  <c r="N93" i="2" a="1"/>
  <c r="N93" i="2" s="1"/>
  <c r="N94" i="2" a="1"/>
  <c r="N94" i="2"/>
  <c r="N95" i="2" a="1"/>
  <c r="N95" i="2" s="1"/>
  <c r="N96" i="2" a="1"/>
  <c r="N96" i="2" s="1"/>
  <c r="N97" i="2" a="1"/>
  <c r="N97" i="2" s="1"/>
  <c r="N98" i="2" a="1"/>
  <c r="N98" i="2"/>
  <c r="N99" i="2" a="1"/>
  <c r="N99" i="2" s="1"/>
  <c r="N100" i="2" a="1"/>
  <c r="N100" i="2" s="1"/>
  <c r="N101" i="2" a="1"/>
  <c r="N101" i="2" s="1"/>
  <c r="N102" i="2" a="1"/>
  <c r="N102" i="2"/>
  <c r="N103" i="2" a="1"/>
  <c r="N103" i="2" s="1"/>
  <c r="N104" i="2" a="1"/>
  <c r="N104" i="2" s="1"/>
  <c r="N105" i="2" a="1"/>
  <c r="N105" i="2" s="1"/>
  <c r="N106" i="2" a="1"/>
  <c r="N106" i="2"/>
  <c r="N107" i="2" a="1"/>
  <c r="N107" i="2" s="1"/>
  <c r="N108" i="2" a="1"/>
  <c r="N108" i="2" s="1"/>
  <c r="N109" i="2" a="1"/>
  <c r="N109" i="2" s="1"/>
  <c r="N110" i="2" a="1"/>
  <c r="N110" i="2"/>
  <c r="N111" i="2" a="1"/>
  <c r="N111" i="2" s="1"/>
  <c r="N112" i="2" a="1"/>
  <c r="N112" i="2" s="1"/>
  <c r="N113" i="2" a="1"/>
  <c r="N113" i="2" s="1"/>
  <c r="N114" i="2" a="1"/>
  <c r="N114" i="2"/>
  <c r="N115" i="2" a="1"/>
  <c r="N115" i="2" s="1"/>
  <c r="N116" i="2" a="1"/>
  <c r="N116" i="2" s="1"/>
  <c r="N117" i="2" a="1"/>
  <c r="N117" i="2" s="1"/>
  <c r="N118" i="2" a="1"/>
  <c r="N118" i="2"/>
  <c r="N119" i="2" a="1"/>
  <c r="N119" i="2" s="1"/>
  <c r="N120" i="2" a="1"/>
  <c r="N120" i="2" s="1"/>
  <c r="N121" i="2" a="1"/>
  <c r="N121" i="2" s="1"/>
  <c r="N122" i="2" a="1"/>
  <c r="N122" i="2"/>
  <c r="N123" i="2" a="1"/>
  <c r="N123" i="2"/>
  <c r="N124" i="2" a="1"/>
  <c r="N124" i="2" s="1"/>
  <c r="N125" i="2" a="1"/>
  <c r="N125" i="2" s="1"/>
  <c r="N126" i="2" a="1"/>
  <c r="N126" i="2"/>
  <c r="N127" i="2" a="1"/>
  <c r="N127" i="2"/>
  <c r="N128" i="2" a="1"/>
  <c r="N128" i="2" s="1"/>
  <c r="N129" i="2" a="1"/>
  <c r="N129" i="2" s="1"/>
  <c r="N130" i="2" a="1"/>
  <c r="N130" i="2"/>
  <c r="N131" i="2" a="1"/>
  <c r="N131" i="2"/>
  <c r="N132" i="2" a="1"/>
  <c r="N132" i="2" s="1"/>
  <c r="N133" i="2" a="1"/>
  <c r="N133" i="2" s="1"/>
  <c r="N134" i="2" a="1"/>
  <c r="N134" i="2"/>
  <c r="N135" i="2" a="1"/>
  <c r="N135" i="2" s="1"/>
  <c r="N136" i="2" a="1"/>
  <c r="N136" i="2" s="1"/>
  <c r="N137" i="2" a="1"/>
  <c r="N137" i="2" s="1"/>
  <c r="N138" i="2" a="1"/>
  <c r="N138" i="2"/>
  <c r="N139" i="2" a="1"/>
  <c r="N139" i="2"/>
  <c r="N140" i="2" a="1"/>
  <c r="N140" i="2" s="1"/>
  <c r="N141" i="2" a="1"/>
  <c r="N141" i="2" s="1"/>
  <c r="N142" i="2" a="1"/>
  <c r="N142" i="2"/>
  <c r="N143" i="2" a="1"/>
  <c r="N143" i="2"/>
  <c r="N144" i="2" a="1"/>
  <c r="N144" i="2" s="1"/>
  <c r="N145" i="2" a="1"/>
  <c r="N145" i="2" s="1"/>
  <c r="N146" i="2" a="1"/>
  <c r="N146" i="2" s="1"/>
  <c r="N147" i="2" a="1"/>
  <c r="N147" i="2"/>
  <c r="N148" i="2" a="1"/>
  <c r="N148" i="2" s="1"/>
  <c r="N149" i="2" a="1"/>
  <c r="N149" i="2" s="1"/>
  <c r="N150" i="2" a="1"/>
  <c r="N150" i="2"/>
  <c r="N151" i="2" a="1"/>
  <c r="N151" i="2" s="1"/>
  <c r="N152" i="2" a="1"/>
  <c r="N152" i="2" s="1"/>
  <c r="N153" i="2" a="1"/>
  <c r="N153" i="2" s="1"/>
  <c r="N154" i="2" a="1"/>
  <c r="N154" i="2"/>
  <c r="N155" i="2" a="1"/>
  <c r="N155" i="2"/>
  <c r="N156" i="2" a="1"/>
  <c r="N156" i="2" s="1"/>
  <c r="N157" i="2" a="1"/>
  <c r="N157" i="2" s="1"/>
  <c r="N158" i="2" a="1"/>
  <c r="N158" i="2"/>
  <c r="N159" i="2" a="1"/>
  <c r="N159" i="2"/>
  <c r="N160" i="2" a="1"/>
  <c r="N160" i="2" s="1"/>
  <c r="N161" i="2" a="1"/>
  <c r="N161" i="2" s="1"/>
  <c r="N162" i="2" a="1"/>
  <c r="N162" i="2" s="1"/>
  <c r="N163" i="2" a="1"/>
  <c r="N163" i="2"/>
  <c r="N164" i="2" a="1"/>
  <c r="N164" i="2" s="1"/>
  <c r="N165" i="2" a="1"/>
  <c r="N165" i="2" s="1"/>
  <c r="N166" i="2" a="1"/>
  <c r="N166" i="2"/>
  <c r="N167" i="2" a="1"/>
  <c r="N167" i="2" s="1"/>
  <c r="N168" i="2" a="1"/>
  <c r="N168" i="2" s="1"/>
  <c r="N169" i="2" a="1"/>
  <c r="N169" i="2" s="1"/>
  <c r="N170" i="2" a="1"/>
  <c r="N170" i="2"/>
  <c r="N171" i="2" a="1"/>
  <c r="N171" i="2"/>
  <c r="N172" i="2" a="1"/>
  <c r="N172" i="2" s="1"/>
  <c r="N173" i="2" a="1"/>
  <c r="N173" i="2" s="1"/>
  <c r="N174" i="2" a="1"/>
  <c r="N174" i="2"/>
  <c r="N175" i="2" a="1"/>
  <c r="N175" i="2"/>
  <c r="N176" i="2" a="1"/>
  <c r="N176" i="2" s="1"/>
  <c r="N177" i="2" a="1"/>
  <c r="N177" i="2" s="1"/>
  <c r="N178" i="2" a="1"/>
  <c r="N178" i="2" s="1"/>
  <c r="N179" i="2" a="1"/>
  <c r="N179" i="2"/>
  <c r="N180" i="2" a="1"/>
  <c r="N180" i="2" s="1"/>
  <c r="N181" i="2" a="1"/>
  <c r="N181" i="2" s="1"/>
  <c r="N182" i="2" a="1"/>
  <c r="N182" i="2"/>
  <c r="N183" i="2" a="1"/>
  <c r="N183" i="2" s="1"/>
  <c r="N184" i="2" a="1"/>
  <c r="N184" i="2" s="1"/>
  <c r="N185" i="2" a="1"/>
  <c r="N185" i="2" s="1"/>
  <c r="N186" i="2" a="1"/>
  <c r="N186" i="2"/>
  <c r="N187" i="2" a="1"/>
  <c r="N187" i="2"/>
  <c r="N188" i="2" a="1"/>
  <c r="N188" i="2" s="1"/>
  <c r="N189" i="2" a="1"/>
  <c r="N189" i="2" s="1"/>
  <c r="N190" i="2" a="1"/>
  <c r="N190" i="2"/>
  <c r="N191" i="2" a="1"/>
  <c r="N191" i="2"/>
  <c r="N192" i="2" a="1"/>
  <c r="N192" i="2" s="1"/>
  <c r="N193" i="2" a="1"/>
  <c r="N193" i="2" s="1"/>
  <c r="N194" i="2" a="1"/>
  <c r="N194" i="2" s="1"/>
  <c r="N195" i="2" a="1"/>
  <c r="N195" i="2"/>
  <c r="N196" i="2" a="1"/>
  <c r="N196" i="2" s="1"/>
  <c r="N197" i="2" a="1"/>
  <c r="N197" i="2" s="1"/>
  <c r="N198" i="2" a="1"/>
  <c r="N198" i="2"/>
  <c r="N199" i="2" a="1"/>
  <c r="N199" i="2" s="1"/>
  <c r="N200" i="2" a="1"/>
  <c r="N200" i="2" s="1"/>
  <c r="N201" i="2" a="1"/>
  <c r="N201" i="2" s="1"/>
  <c r="N202" i="2" a="1"/>
  <c r="N202" i="2"/>
  <c r="N203" i="2" a="1"/>
  <c r="N203" i="2"/>
  <c r="N204" i="2" a="1"/>
  <c r="N204" i="2" s="1"/>
  <c r="N205" i="2" a="1"/>
  <c r="N205" i="2" s="1"/>
  <c r="N206" i="2" a="1"/>
  <c r="N206" i="2"/>
  <c r="N207" i="2" a="1"/>
  <c r="N207" i="2"/>
  <c r="N208" i="2" a="1"/>
  <c r="N208" i="2" s="1"/>
  <c r="N209" i="2" a="1"/>
  <c r="N209" i="2" s="1"/>
  <c r="N210" i="2" a="1"/>
  <c r="N210" i="2" s="1"/>
  <c r="N211" i="2" a="1"/>
  <c r="N211" i="2"/>
  <c r="N212" i="2" a="1"/>
  <c r="N212" i="2" s="1"/>
  <c r="N213" i="2" a="1"/>
  <c r="N213" i="2" s="1"/>
  <c r="N214" i="2" a="1"/>
  <c r="N214" i="2"/>
  <c r="N215" i="2" a="1"/>
  <c r="N215" i="2" s="1"/>
  <c r="N216" i="2" a="1"/>
  <c r="N216" i="2" s="1"/>
  <c r="N217" i="2" a="1"/>
  <c r="N217" i="2" s="1"/>
  <c r="N218" i="2" a="1"/>
  <c r="N218" i="2"/>
  <c r="N219" i="2" a="1"/>
  <c r="N219" i="2"/>
  <c r="N220" i="2" a="1"/>
  <c r="N220" i="2" s="1"/>
  <c r="N221" i="2" a="1"/>
  <c r="N221" i="2" s="1"/>
  <c r="N222" i="2" a="1"/>
  <c r="N222" i="2"/>
  <c r="N223" i="2" a="1"/>
  <c r="N223" i="2"/>
  <c r="N224" i="2" a="1"/>
  <c r="N224" i="2" s="1"/>
  <c r="N225" i="2" a="1"/>
  <c r="N225" i="2" s="1"/>
  <c r="N226" i="2" a="1"/>
  <c r="N226" i="2" s="1"/>
  <c r="N227" i="2" a="1"/>
  <c r="N227" i="2"/>
  <c r="N228" i="2" a="1"/>
  <c r="N228" i="2" s="1"/>
  <c r="N229" i="2" a="1"/>
  <c r="N229" i="2" s="1"/>
  <c r="N230" i="2" a="1"/>
  <c r="N230" i="2"/>
  <c r="N231" i="2" a="1"/>
  <c r="N231" i="2" s="1"/>
  <c r="N232" i="2" a="1"/>
  <c r="N232" i="2" s="1"/>
  <c r="N233" i="2" a="1"/>
  <c r="N233" i="2" s="1"/>
  <c r="N234" i="2" a="1"/>
  <c r="N234" i="2"/>
  <c r="N235" i="2" a="1"/>
  <c r="N235" i="2"/>
  <c r="N236" i="2" a="1"/>
  <c r="N236" i="2" s="1"/>
  <c r="N237" i="2" a="1"/>
  <c r="N237" i="2" s="1"/>
  <c r="N238" i="2" a="1"/>
  <c r="N238" i="2"/>
  <c r="N239" i="2" a="1"/>
  <c r="N239" i="2"/>
  <c r="N240" i="2" a="1"/>
  <c r="N240" i="2" s="1"/>
  <c r="N241" i="2" a="1"/>
  <c r="N241" i="2" s="1"/>
  <c r="N242" i="2" a="1"/>
  <c r="N242" i="2" s="1"/>
  <c r="N243" i="2" a="1"/>
  <c r="N243" i="2"/>
  <c r="N244" i="2" a="1"/>
  <c r="N244" i="2" s="1"/>
  <c r="N245" i="2" a="1"/>
  <c r="N245" i="2" s="1"/>
  <c r="N246" i="2" a="1"/>
  <c r="N246" i="2"/>
  <c r="N247" i="2" a="1"/>
  <c r="N247" i="2" s="1"/>
  <c r="N248" i="2" a="1"/>
  <c r="N248" i="2" s="1"/>
  <c r="N249" i="2" a="1"/>
  <c r="N249" i="2" s="1"/>
  <c r="N250" i="2" a="1"/>
  <c r="N250" i="2"/>
  <c r="N251" i="2" a="1"/>
  <c r="N251" i="2"/>
  <c r="N252" i="2" a="1"/>
  <c r="N252" i="2" s="1"/>
  <c r="N253" i="2" a="1"/>
  <c r="N253" i="2" s="1"/>
  <c r="N254" i="2" a="1"/>
  <c r="N254" i="2"/>
  <c r="N255" i="2" a="1"/>
  <c r="N255" i="2"/>
  <c r="N256" i="2" a="1"/>
  <c r="N256" i="2" s="1"/>
  <c r="N257" i="2" a="1"/>
  <c r="N257" i="2" s="1"/>
  <c r="N258" i="2" a="1"/>
  <c r="N258" i="2" s="1"/>
  <c r="N259" i="2" a="1"/>
  <c r="N259" i="2"/>
  <c r="N260" i="2" a="1"/>
  <c r="N260" i="2" s="1"/>
  <c r="N261" i="2" a="1"/>
  <c r="N261" i="2" s="1"/>
  <c r="N262" i="2" a="1"/>
  <c r="N262" i="2"/>
  <c r="N263" i="2" a="1"/>
  <c r="N263" i="2" s="1"/>
  <c r="N264" i="2" a="1"/>
  <c r="N264" i="2" s="1"/>
  <c r="N265" i="2" a="1"/>
  <c r="N265" i="2" s="1"/>
  <c r="N266" i="2" a="1"/>
  <c r="N266" i="2"/>
  <c r="N267" i="2" a="1"/>
  <c r="N267" i="2"/>
  <c r="N268" i="2" a="1"/>
  <c r="N268" i="2" s="1"/>
  <c r="N269" i="2" a="1"/>
  <c r="N269" i="2" s="1"/>
  <c r="N270" i="2" a="1"/>
  <c r="N270" i="2"/>
  <c r="N271" i="2" a="1"/>
  <c r="N271" i="2"/>
  <c r="N272" i="2" a="1"/>
  <c r="N272" i="2" s="1"/>
  <c r="N273" i="2" a="1"/>
  <c r="N273" i="2" s="1"/>
  <c r="N274" i="2" a="1"/>
  <c r="N274" i="2" s="1"/>
  <c r="N275" i="2" a="1"/>
  <c r="N275" i="2" s="1"/>
  <c r="N276" i="2" a="1"/>
  <c r="N276" i="2" s="1"/>
  <c r="N277" i="2" a="1"/>
  <c r="N277" i="2" s="1"/>
  <c r="N278" i="2" a="1"/>
  <c r="N278" i="2"/>
  <c r="N279" i="2" a="1"/>
  <c r="N279" i="2" s="1"/>
  <c r="N280" i="2" a="1"/>
  <c r="N280" i="2" s="1"/>
  <c r="N281" i="2" a="1"/>
  <c r="N281" i="2" s="1"/>
  <c r="N282" i="2" a="1"/>
  <c r="N282" i="2"/>
  <c r="N283" i="2" a="1"/>
  <c r="N283" i="2"/>
  <c r="N284" i="2" a="1"/>
  <c r="N284" i="2" s="1"/>
  <c r="N285" i="2" a="1"/>
  <c r="N285" i="2" s="1"/>
  <c r="N286" i="2" a="1"/>
  <c r="N286" i="2" s="1"/>
  <c r="N287" i="2" a="1"/>
  <c r="N287" i="2"/>
  <c r="N288" i="2" a="1"/>
  <c r="N288" i="2" s="1"/>
  <c r="N289" i="2" a="1"/>
  <c r="N289" i="2" s="1"/>
  <c r="N290" i="2" a="1"/>
  <c r="N290" i="2" s="1"/>
  <c r="N291" i="2" a="1"/>
  <c r="N291" i="2" s="1"/>
  <c r="N292" i="2" a="1"/>
  <c r="N292" i="2" s="1"/>
  <c r="N293" i="2" a="1"/>
  <c r="N293" i="2" s="1"/>
  <c r="N294" i="2" a="1"/>
  <c r="N294" i="2"/>
  <c r="N295" i="2" a="1"/>
  <c r="N295" i="2" s="1"/>
  <c r="N296" i="2" a="1"/>
  <c r="N296" i="2" s="1"/>
  <c r="N297" i="2" a="1"/>
  <c r="N297" i="2" s="1"/>
  <c r="N298" i="2" a="1"/>
  <c r="N298" i="2"/>
  <c r="N299" i="2" a="1"/>
  <c r="N299" i="2"/>
  <c r="N300" i="2" a="1"/>
  <c r="N300" i="2" s="1"/>
  <c r="N301" i="2" a="1"/>
  <c r="N301" i="2" s="1"/>
  <c r="N302" i="2" a="1"/>
  <c r="N302" i="2" s="1"/>
  <c r="N303" i="2" a="1"/>
  <c r="N303" i="2"/>
  <c r="N304" i="2" a="1"/>
  <c r="N304" i="2" s="1"/>
  <c r="N305" i="2" a="1"/>
  <c r="N305" i="2" s="1"/>
  <c r="N306" i="2" a="1"/>
  <c r="N306" i="2" s="1"/>
  <c r="N307" i="2" a="1"/>
  <c r="N307" i="2" s="1"/>
  <c r="N308" i="2" a="1"/>
  <c r="N308" i="2" s="1"/>
  <c r="N309" i="2" a="1"/>
  <c r="N309" i="2" s="1"/>
  <c r="N310" i="2" a="1"/>
  <c r="N310" i="2"/>
  <c r="N311" i="2" a="1"/>
  <c r="N311" i="2" s="1"/>
  <c r="N312" i="2" a="1"/>
  <c r="N312" i="2" s="1"/>
  <c r="N313" i="2" a="1"/>
  <c r="N313" i="2" s="1"/>
  <c r="N314" i="2" a="1"/>
  <c r="N314" i="2"/>
  <c r="N315" i="2" a="1"/>
  <c r="N315" i="2"/>
  <c r="N316" i="2" a="1"/>
  <c r="N316" i="2" s="1"/>
  <c r="N317" i="2" a="1"/>
  <c r="N317" i="2" s="1"/>
  <c r="N318" i="2" a="1"/>
  <c r="N318" i="2" s="1"/>
  <c r="N319" i="2" a="1"/>
  <c r="N319" i="2"/>
  <c r="N320" i="2" a="1"/>
  <c r="N320" i="2" s="1"/>
  <c r="N321" i="2" a="1"/>
  <c r="N321" i="2" s="1"/>
  <c r="N322" i="2" a="1"/>
  <c r="N322" i="2" s="1"/>
  <c r="N323" i="2" a="1"/>
  <c r="N323" i="2" s="1"/>
  <c r="N324" i="2" a="1"/>
  <c r="N324" i="2" s="1"/>
  <c r="N325" i="2" a="1"/>
  <c r="N325" i="2" s="1"/>
  <c r="N326" i="2" a="1"/>
  <c r="N326" i="2"/>
  <c r="N327" i="2" a="1"/>
  <c r="N327" i="2" s="1"/>
  <c r="N328" i="2" a="1"/>
  <c r="N328" i="2" s="1"/>
  <c r="N329" i="2" a="1"/>
  <c r="N329" i="2" s="1"/>
  <c r="N330" i="2" a="1"/>
  <c r="N330" i="2"/>
  <c r="N331" i="2" a="1"/>
  <c r="N331" i="2"/>
  <c r="N332" i="2" a="1"/>
  <c r="N332" i="2" s="1"/>
  <c r="N333" i="2" a="1"/>
  <c r="N333" i="2" s="1"/>
  <c r="N334" i="2" a="1"/>
  <c r="N334" i="2" s="1"/>
  <c r="N335" i="2" a="1"/>
  <c r="N335" i="2"/>
  <c r="N336" i="2" a="1"/>
  <c r="N336" i="2" s="1"/>
  <c r="N337" i="2" a="1"/>
  <c r="N337" i="2" s="1"/>
  <c r="N338" i="2" a="1"/>
  <c r="N338" i="2" s="1"/>
  <c r="N339" i="2" a="1"/>
  <c r="N339" i="2" s="1"/>
  <c r="N340" i="2" a="1"/>
  <c r="N340" i="2" s="1"/>
  <c r="N341" i="2" a="1"/>
  <c r="N341" i="2" s="1"/>
  <c r="N342" i="2" a="1"/>
  <c r="N342" i="2"/>
  <c r="N343" i="2" a="1"/>
  <c r="N343" i="2" s="1"/>
  <c r="N344" i="2" a="1"/>
  <c r="N344" i="2" s="1"/>
  <c r="N345" i="2" a="1"/>
  <c r="N345" i="2" s="1"/>
  <c r="N346" i="2" a="1"/>
  <c r="N346" i="2"/>
  <c r="N347" i="2" a="1"/>
  <c r="N347" i="2" s="1"/>
  <c r="N348" i="2" a="1"/>
  <c r="N348" i="2"/>
  <c r="N349" i="2" a="1"/>
  <c r="N349" i="2" s="1"/>
  <c r="N350" i="2" a="1"/>
  <c r="N350" i="2"/>
  <c r="N351" i="2" a="1"/>
  <c r="N351" i="2" s="1"/>
  <c r="N352" i="2" a="1"/>
  <c r="N352" i="2" s="1"/>
  <c r="N353" i="2" a="1"/>
  <c r="N353" i="2" s="1"/>
  <c r="N354" i="2" a="1"/>
  <c r="N354" i="2"/>
  <c r="N355" i="2" a="1"/>
  <c r="N355" i="2"/>
  <c r="N356" i="2" a="1"/>
  <c r="N356" i="2" s="1"/>
  <c r="N357" i="2" a="1"/>
  <c r="N357" i="2" s="1"/>
  <c r="N358" i="2" a="1"/>
  <c r="N358" i="2"/>
  <c r="N359" i="2" a="1"/>
  <c r="N359" i="2"/>
  <c r="N360" i="2" a="1"/>
  <c r="N360" i="2" s="1"/>
  <c r="N361" i="2" a="1"/>
  <c r="N361" i="2" s="1"/>
  <c r="N362" i="2" a="1"/>
  <c r="N362" i="2"/>
  <c r="N363" i="2" a="1"/>
  <c r="N363" i="2"/>
  <c r="N364" i="2" a="1"/>
  <c r="N364" i="2" s="1"/>
  <c r="N365" i="2" a="1"/>
  <c r="N365" i="2" s="1"/>
  <c r="N366" i="2" a="1"/>
  <c r="N366" i="2"/>
  <c r="N367" i="2" a="1"/>
  <c r="N367" i="2" s="1"/>
  <c r="N368" i="2" a="1"/>
  <c r="N368" i="2" s="1"/>
  <c r="N369" i="2" a="1"/>
  <c r="N369" i="2" s="1"/>
  <c r="N370" i="2" a="1"/>
  <c r="N370" i="2"/>
  <c r="N371" i="2" a="1"/>
  <c r="N371" i="2"/>
  <c r="N372" i="2" a="1"/>
  <c r="N372" i="2" s="1"/>
  <c r="N373" i="2" a="1"/>
  <c r="N373" i="2" s="1"/>
  <c r="N374" i="2" a="1"/>
  <c r="N374" i="2"/>
  <c r="N375" i="2" a="1"/>
  <c r="N375" i="2"/>
  <c r="N376" i="2" a="1"/>
  <c r="N376" i="2" s="1"/>
  <c r="N377" i="2" a="1"/>
  <c r="N377" i="2" s="1"/>
  <c r="N378" i="2" a="1"/>
  <c r="N378" i="2"/>
  <c r="N379" i="2" a="1"/>
  <c r="N379" i="2"/>
  <c r="N380" i="2" a="1"/>
  <c r="N380" i="2" s="1"/>
  <c r="N381" i="2" a="1"/>
  <c r="N381" i="2" s="1"/>
  <c r="N382" i="2" a="1"/>
  <c r="N382" i="2"/>
  <c r="N383" i="2" a="1"/>
  <c r="N383" i="2" s="1"/>
  <c r="N384" i="2" a="1"/>
  <c r="N384" i="2" s="1"/>
  <c r="N385" i="2" a="1"/>
  <c r="N385" i="2" s="1"/>
  <c r="N386" i="2" a="1"/>
  <c r="N386" i="2"/>
  <c r="N387" i="2" a="1"/>
  <c r="N387" i="2"/>
  <c r="N388" i="2" a="1"/>
  <c r="N388" i="2" s="1"/>
  <c r="N389" i="2" a="1"/>
  <c r="N389" i="2" s="1"/>
  <c r="N390" i="2" a="1"/>
  <c r="N390" i="2"/>
  <c r="N391" i="2" a="1"/>
  <c r="N391" i="2"/>
  <c r="N392" i="2" a="1"/>
  <c r="N392" i="2" s="1"/>
  <c r="N393" i="2" a="1"/>
  <c r="N393" i="2" s="1"/>
  <c r="N394" i="2" a="1"/>
  <c r="N394" i="2" s="1"/>
  <c r="N395" i="2" a="1"/>
  <c r="N395" i="2"/>
  <c r="N396" i="2" a="1"/>
  <c r="N396" i="2" s="1"/>
  <c r="N397" i="2" a="1"/>
  <c r="N397" i="2" s="1"/>
  <c r="N398" i="2" a="1"/>
  <c r="N398" i="2"/>
  <c r="N399" i="2" a="1"/>
  <c r="N399" i="2" s="1"/>
  <c r="N400" i="2" a="1"/>
  <c r="N400" i="2" s="1"/>
  <c r="N401" i="2" a="1"/>
  <c r="N401" i="2" s="1"/>
  <c r="N402" i="2" a="1"/>
  <c r="N402" i="2"/>
  <c r="N403" i="2" a="1"/>
  <c r="N403" i="2"/>
  <c r="N404" i="2" a="1"/>
  <c r="N404" i="2" s="1"/>
  <c r="N405" i="2" a="1"/>
  <c r="N405" i="2" s="1"/>
  <c r="N406" i="2" a="1"/>
  <c r="N406" i="2"/>
  <c r="N407" i="2" a="1"/>
  <c r="N407" i="2"/>
  <c r="N408" i="2" a="1"/>
  <c r="N408" i="2" s="1"/>
  <c r="N409" i="2" a="1"/>
  <c r="N409" i="2" s="1"/>
  <c r="N410" i="2" a="1"/>
  <c r="N410" i="2" s="1"/>
  <c r="N411" i="2" a="1"/>
  <c r="N411" i="2"/>
  <c r="N412" i="2" a="1"/>
  <c r="N412" i="2" s="1"/>
  <c r="N413" i="2" a="1"/>
  <c r="N413" i="2" s="1"/>
  <c r="N414" i="2" a="1"/>
  <c r="N414" i="2"/>
  <c r="N415" i="2" a="1"/>
  <c r="N415" i="2" s="1"/>
  <c r="N416" i="2" a="1"/>
  <c r="N416" i="2" s="1"/>
  <c r="N417" i="2" a="1"/>
  <c r="N417" i="2" s="1"/>
  <c r="N418" i="2" a="1"/>
  <c r="N418" i="2"/>
  <c r="N419" i="2" a="1"/>
  <c r="N419" i="2"/>
  <c r="N420" i="2" a="1"/>
  <c r="N420" i="2" s="1"/>
  <c r="N421" i="2" a="1"/>
  <c r="N421" i="2" s="1"/>
  <c r="N422" i="2" a="1"/>
  <c r="N422" i="2"/>
  <c r="N423" i="2" a="1"/>
  <c r="N423" i="2"/>
  <c r="N424" i="2" a="1"/>
  <c r="N424" i="2" s="1"/>
  <c r="N425" i="2" a="1"/>
  <c r="N425" i="2" s="1"/>
  <c r="N426" i="2" a="1"/>
  <c r="N426" i="2" s="1"/>
  <c r="N427" i="2" a="1"/>
  <c r="N427" i="2"/>
  <c r="N428" i="2" a="1"/>
  <c r="N428" i="2" s="1"/>
  <c r="N429" i="2" a="1"/>
  <c r="N429" i="2" s="1"/>
  <c r="N430" i="2" a="1"/>
  <c r="N430" i="2"/>
  <c r="N431" i="2" a="1"/>
  <c r="N431" i="2" s="1"/>
  <c r="N432" i="2" a="1"/>
  <c r="N432" i="2" s="1"/>
  <c r="N433" i="2" a="1"/>
  <c r="N433" i="2" s="1"/>
  <c r="N434" i="2" a="1"/>
  <c r="N434" i="2"/>
  <c r="N435" i="2" a="1"/>
  <c r="N435" i="2"/>
  <c r="N436" i="2" a="1"/>
  <c r="N436" i="2" s="1"/>
  <c r="N437" i="2" a="1"/>
  <c r="N437" i="2" s="1"/>
  <c r="N438" i="2" a="1"/>
  <c r="N438" i="2"/>
  <c r="N439" i="2" a="1"/>
  <c r="N439" i="2"/>
  <c r="N440" i="2" a="1"/>
  <c r="N440" i="2" s="1"/>
  <c r="N441" i="2" a="1"/>
  <c r="N441" i="2" s="1"/>
  <c r="N442" i="2" a="1"/>
  <c r="N442" i="2" s="1"/>
  <c r="N443" i="2" a="1"/>
  <c r="N443" i="2"/>
  <c r="N444" i="2" a="1"/>
  <c r="N444" i="2" s="1"/>
  <c r="N445" i="2" a="1"/>
  <c r="N445" i="2" s="1"/>
  <c r="N446" i="2" a="1"/>
  <c r="N446" i="2"/>
  <c r="N447" i="2" a="1"/>
  <c r="N447" i="2" s="1"/>
  <c r="N448" i="2" a="1"/>
  <c r="N448" i="2" s="1"/>
  <c r="N449" i="2" a="1"/>
  <c r="N449" i="2" s="1"/>
  <c r="N450" i="2" a="1"/>
  <c r="N450" i="2"/>
  <c r="N451" i="2" a="1"/>
  <c r="N451" i="2"/>
  <c r="N452" i="2" a="1"/>
  <c r="N452" i="2" s="1"/>
  <c r="N453" i="2" a="1"/>
  <c r="N453" i="2" s="1"/>
  <c r="N454" i="2" a="1"/>
  <c r="N454" i="2"/>
  <c r="N455" i="2" a="1"/>
  <c r="N455" i="2"/>
  <c r="N456" i="2" a="1"/>
  <c r="N456" i="2" s="1"/>
  <c r="N457" i="2" a="1"/>
  <c r="N457" i="2" s="1"/>
  <c r="N458" i="2" a="1"/>
  <c r="N458" i="2" s="1"/>
  <c r="N459" i="2" a="1"/>
  <c r="N459" i="2"/>
  <c r="N460" i="2" a="1"/>
  <c r="N460" i="2" s="1"/>
  <c r="N461" i="2" a="1"/>
  <c r="N461" i="2" s="1"/>
  <c r="N462" i="2" a="1"/>
  <c r="N462" i="2"/>
  <c r="N463" i="2" a="1"/>
  <c r="N463" i="2" s="1"/>
  <c r="N464" i="2" a="1"/>
  <c r="N464" i="2" s="1"/>
  <c r="N465" i="2" a="1"/>
  <c r="N465" i="2" s="1"/>
  <c r="N466" i="2" a="1"/>
  <c r="N466" i="2"/>
  <c r="N467" i="2" a="1"/>
  <c r="N467" i="2"/>
  <c r="N468" i="2" a="1"/>
  <c r="N468" i="2" s="1"/>
  <c r="N469" i="2" a="1"/>
  <c r="N469" i="2" s="1"/>
  <c r="N470" i="2" a="1"/>
  <c r="N470" i="2"/>
  <c r="N471" i="2" a="1"/>
  <c r="N471" i="2"/>
  <c r="N472" i="2" a="1"/>
  <c r="N472" i="2" s="1"/>
  <c r="N473" i="2" a="1"/>
  <c r="N473" i="2" s="1"/>
  <c r="N474" i="2" a="1"/>
  <c r="N474" i="2" s="1"/>
  <c r="N475" i="2" a="1"/>
  <c r="N475" i="2"/>
  <c r="N476" i="2" a="1"/>
  <c r="N476" i="2" s="1"/>
  <c r="N477" i="2" a="1"/>
  <c r="N477" i="2" s="1"/>
  <c r="N478" i="2" a="1"/>
  <c r="N478" i="2"/>
  <c r="N479" i="2" a="1"/>
  <c r="N479" i="2" s="1"/>
  <c r="N480" i="2" a="1"/>
  <c r="N480" i="2" s="1"/>
  <c r="N481" i="2" a="1"/>
  <c r="N481" i="2" s="1"/>
  <c r="N482" i="2" a="1"/>
  <c r="N482" i="2"/>
  <c r="N483" i="2" a="1"/>
  <c r="N483" i="2"/>
  <c r="N484" i="2" a="1"/>
  <c r="N484" i="2" s="1"/>
  <c r="N485" i="2" a="1"/>
  <c r="N485" i="2" s="1"/>
  <c r="N486" i="2" a="1"/>
  <c r="N486" i="2"/>
  <c r="N487" i="2" a="1"/>
  <c r="N487" i="2"/>
  <c r="N488" i="2" a="1"/>
  <c r="N488" i="2" s="1"/>
  <c r="N489" i="2" a="1"/>
  <c r="N489" i="2" s="1"/>
  <c r="N490" i="2" a="1"/>
  <c r="N490" i="2" s="1"/>
  <c r="N491" i="2" a="1"/>
  <c r="N491" i="2"/>
  <c r="N492" i="2" a="1"/>
  <c r="N492" i="2" s="1"/>
  <c r="N493" i="2" a="1"/>
  <c r="N493" i="2" s="1"/>
  <c r="N494" i="2" a="1"/>
  <c r="N494" i="2"/>
  <c r="N495" i="2" a="1"/>
  <c r="N495" i="2" s="1"/>
  <c r="N496" i="2" a="1"/>
  <c r="N496" i="2" s="1"/>
  <c r="N497" i="2" a="1"/>
  <c r="N497" i="2" s="1"/>
  <c r="N498" i="2" a="1"/>
  <c r="N498" i="2"/>
  <c r="N499" i="2" a="1"/>
  <c r="N499" i="2"/>
  <c r="N500" i="2" a="1"/>
  <c r="N500" i="2" s="1"/>
  <c r="N501" i="2" a="1"/>
  <c r="N501" i="2" s="1"/>
  <c r="N502" i="2" a="1"/>
  <c r="N502" i="2"/>
  <c r="N503" i="2" a="1"/>
  <c r="N503" i="2"/>
  <c r="N504" i="2" a="1"/>
  <c r="N504" i="2" s="1"/>
  <c r="N505" i="2" a="1"/>
  <c r="N505" i="2" s="1"/>
  <c r="N506" i="2" a="1"/>
  <c r="N506" i="2" s="1"/>
  <c r="N507" i="2" a="1"/>
  <c r="N507" i="2"/>
  <c r="N508" i="2" a="1"/>
  <c r="N508" i="2" s="1"/>
  <c r="N509" i="2" a="1"/>
  <c r="N509" i="2" s="1"/>
  <c r="N510" i="2" a="1"/>
  <c r="N510" i="2"/>
  <c r="N511" i="2" a="1"/>
  <c r="N511" i="2" s="1"/>
  <c r="N512" i="2" a="1"/>
  <c r="N512" i="2" s="1"/>
  <c r="N513" i="2" a="1"/>
  <c r="N513" i="2" s="1"/>
  <c r="N514" i="2" a="1"/>
  <c r="N514" i="2"/>
  <c r="N515" i="2" a="1"/>
  <c r="N515" i="2"/>
  <c r="N516" i="2" a="1"/>
  <c r="N516" i="2" s="1"/>
  <c r="N517" i="2" a="1"/>
  <c r="N517" i="2" s="1"/>
  <c r="N518" i="2" a="1"/>
  <c r="N518" i="2"/>
  <c r="N519" i="2" a="1"/>
  <c r="N519" i="2"/>
  <c r="N520" i="2" a="1"/>
  <c r="N520" i="2" s="1"/>
  <c r="N521" i="2" a="1"/>
  <c r="N521" i="2" s="1"/>
  <c r="N522" i="2" a="1"/>
  <c r="N522" i="2" s="1"/>
  <c r="N523" i="2" a="1"/>
  <c r="N523" i="2"/>
  <c r="N524" i="2" a="1"/>
  <c r="N524" i="2" s="1"/>
  <c r="N525" i="2" a="1"/>
  <c r="N525" i="2" s="1"/>
  <c r="N526" i="2" a="1"/>
  <c r="N526" i="2"/>
  <c r="N527" i="2" a="1"/>
  <c r="N527" i="2" s="1"/>
  <c r="N528" i="2" a="1"/>
  <c r="N528" i="2" s="1"/>
  <c r="N529" i="2" a="1"/>
  <c r="N529" i="2" s="1"/>
  <c r="N530" i="2" a="1"/>
  <c r="N530" i="2"/>
  <c r="N531" i="2" a="1"/>
  <c r="N531" i="2"/>
  <c r="N532" i="2" a="1"/>
  <c r="N532" i="2" s="1"/>
  <c r="N533" i="2" a="1"/>
  <c r="N533" i="2" s="1"/>
  <c r="N534" i="2" a="1"/>
  <c r="N534" i="2"/>
  <c r="N535" i="2" a="1"/>
  <c r="N535" i="2"/>
  <c r="N536" i="2" a="1"/>
  <c r="N536" i="2" s="1"/>
  <c r="N537" i="2" a="1"/>
  <c r="N537" i="2" s="1"/>
  <c r="N538" i="2" a="1"/>
  <c r="N538" i="2" s="1"/>
  <c r="N539" i="2" a="1"/>
  <c r="N539" i="2"/>
  <c r="N540" i="2" a="1"/>
  <c r="N540" i="2" s="1"/>
  <c r="N541" i="2" a="1"/>
  <c r="N541" i="2" s="1"/>
  <c r="N542" i="2" a="1"/>
  <c r="N542" i="2"/>
  <c r="N543" i="2" a="1"/>
  <c r="N543" i="2" s="1"/>
  <c r="N544" i="2" a="1"/>
  <c r="N544" i="2" s="1"/>
  <c r="N545" i="2" a="1"/>
  <c r="N545" i="2" s="1"/>
  <c r="N546" i="2" a="1"/>
  <c r="N546" i="2"/>
  <c r="N547" i="2" a="1"/>
  <c r="N547" i="2" s="1"/>
  <c r="N548" i="2" a="1"/>
  <c r="N548" i="2" s="1"/>
  <c r="N549" i="2" a="1"/>
  <c r="N549" i="2" s="1"/>
  <c r="N550" i="2" a="1"/>
  <c r="N550" i="2"/>
  <c r="N551" i="2" a="1"/>
  <c r="N551" i="2"/>
  <c r="N552" i="2" a="1"/>
  <c r="N552" i="2" s="1"/>
  <c r="N553" i="2" a="1"/>
  <c r="N553" i="2" s="1"/>
  <c r="N554" i="2" a="1"/>
  <c r="N554" i="2" s="1"/>
  <c r="N555" i="2" a="1"/>
  <c r="N555" i="2"/>
  <c r="N556" i="2" a="1"/>
  <c r="N556" i="2" s="1"/>
  <c r="N557" i="2" a="1"/>
  <c r="N557" i="2" s="1"/>
  <c r="N558" i="2" a="1"/>
  <c r="N558" i="2" s="1"/>
  <c r="N559" i="2" a="1"/>
  <c r="N559" i="2" s="1"/>
  <c r="N560" i="2" a="1"/>
  <c r="N560" i="2" s="1"/>
  <c r="N561" i="2" a="1"/>
  <c r="N561" i="2" s="1"/>
  <c r="N562" i="2" a="1"/>
  <c r="N562" i="2"/>
  <c r="N563" i="2" a="1"/>
  <c r="N563" i="2" s="1"/>
  <c r="N564" i="2" a="1"/>
  <c r="N564" i="2" s="1"/>
  <c r="N565" i="2" a="1"/>
  <c r="N565" i="2" s="1"/>
  <c r="N566" i="2" a="1"/>
  <c r="N566" i="2"/>
  <c r="N567" i="2" a="1"/>
  <c r="N567" i="2"/>
  <c r="N568" i="2" a="1"/>
  <c r="N568" i="2" s="1"/>
  <c r="N569" i="2" a="1"/>
  <c r="N569" i="2" s="1"/>
  <c r="N570" i="2" a="1"/>
  <c r="N570" i="2" s="1"/>
  <c r="N571" i="2" a="1"/>
  <c r="N571" i="2"/>
  <c r="N572" i="2" a="1"/>
  <c r="N572" i="2" s="1"/>
  <c r="N573" i="2" a="1"/>
  <c r="N573" i="2" s="1"/>
  <c r="N574" i="2" a="1"/>
  <c r="N574" i="2" s="1"/>
  <c r="N575" i="2" a="1"/>
  <c r="N575" i="2" s="1"/>
  <c r="N576" i="2" a="1"/>
  <c r="N576" i="2" s="1"/>
  <c r="N577" i="2" a="1"/>
  <c r="N577" i="2" s="1"/>
  <c r="N578" i="2" a="1"/>
  <c r="N578" i="2"/>
  <c r="N579" i="2" a="1"/>
  <c r="N579" i="2" s="1"/>
  <c r="N580" i="2" a="1"/>
  <c r="N580" i="2" s="1"/>
  <c r="N581" i="2" a="1"/>
  <c r="N581" i="2" s="1"/>
  <c r="N582" i="2" a="1"/>
  <c r="N582" i="2" s="1"/>
  <c r="N583" i="2" a="1"/>
  <c r="N583" i="2"/>
  <c r="N584" i="2" a="1"/>
  <c r="N584" i="2" s="1"/>
  <c r="N585" i="2" a="1"/>
  <c r="N585" i="2" s="1"/>
  <c r="N586" i="2" a="1"/>
  <c r="N586" i="2" s="1"/>
  <c r="N587" i="2" a="1"/>
  <c r="N587" i="2" s="1"/>
  <c r="N588" i="2" a="1"/>
  <c r="N588" i="2" s="1"/>
  <c r="N589" i="2" a="1"/>
  <c r="N589" i="2" s="1"/>
  <c r="N590" i="2" a="1"/>
  <c r="N590" i="2" s="1"/>
  <c r="N591" i="2" a="1"/>
  <c r="N591" i="2" s="1"/>
  <c r="N592" i="2" a="1"/>
  <c r="N592" i="2" s="1"/>
  <c r="N593" i="2" a="1"/>
  <c r="N593" i="2" s="1"/>
  <c r="N594" i="2" a="1"/>
  <c r="N594" i="2"/>
  <c r="N595" i="2" a="1"/>
  <c r="N595" i="2" s="1"/>
  <c r="N596" i="2" a="1"/>
  <c r="N596" i="2" s="1"/>
  <c r="N597" i="2" a="1"/>
  <c r="N597" i="2" s="1"/>
  <c r="N598" i="2" a="1"/>
  <c r="N598" i="2" s="1"/>
  <c r="N599" i="2" a="1"/>
  <c r="N599" i="2"/>
  <c r="N600" i="2" a="1"/>
  <c r="N600" i="2" s="1"/>
  <c r="N601" i="2" a="1"/>
  <c r="N601" i="2" s="1"/>
  <c r="N602" i="2" a="1"/>
  <c r="N602" i="2" s="1"/>
  <c r="N603" i="2" a="1"/>
  <c r="N603" i="2" s="1"/>
  <c r="N604" i="2" a="1"/>
  <c r="N604" i="2" s="1"/>
  <c r="N605" i="2" a="1"/>
  <c r="N605" i="2" s="1"/>
  <c r="N606" i="2" a="1"/>
  <c r="N606" i="2" s="1"/>
  <c r="N607" i="2" a="1"/>
  <c r="N607" i="2" s="1"/>
  <c r="N608" i="2" a="1"/>
  <c r="N608" i="2" s="1"/>
  <c r="N609" i="2" a="1"/>
  <c r="N609" i="2" s="1"/>
  <c r="N610" i="2" a="1"/>
  <c r="N610" i="2"/>
  <c r="N611" i="2" a="1"/>
  <c r="N611" i="2" s="1"/>
  <c r="N612" i="2" a="1"/>
  <c r="N612" i="2" s="1"/>
  <c r="N613" i="2" a="1"/>
  <c r="N613" i="2" s="1"/>
  <c r="N614" i="2" a="1"/>
  <c r="N614" i="2" s="1"/>
  <c r="N615" i="2" a="1"/>
  <c r="N615" i="2"/>
  <c r="N616" i="2" a="1"/>
  <c r="N616" i="2" s="1"/>
  <c r="N617" i="2" a="1"/>
  <c r="N617" i="2" s="1"/>
  <c r="N618" i="2" a="1"/>
  <c r="N618" i="2" s="1"/>
  <c r="N619" i="2" a="1"/>
  <c r="N619" i="2" s="1"/>
  <c r="N620" i="2" a="1"/>
  <c r="N620" i="2" s="1"/>
  <c r="N621" i="2" a="1"/>
  <c r="N621" i="2" s="1"/>
  <c r="N622" i="2" a="1"/>
  <c r="N622" i="2" s="1"/>
  <c r="N623" i="2" a="1"/>
  <c r="N623" i="2" s="1"/>
  <c r="N624" i="2" a="1"/>
  <c r="N624" i="2" s="1"/>
  <c r="N625" i="2" a="1"/>
  <c r="N625" i="2" s="1"/>
  <c r="N626" i="2" a="1"/>
  <c r="N626" i="2"/>
  <c r="N627" i="2" a="1"/>
  <c r="N627" i="2" s="1"/>
  <c r="N628" i="2" a="1"/>
  <c r="N628" i="2" s="1"/>
  <c r="N629" i="2" a="1"/>
  <c r="N629" i="2" s="1"/>
  <c r="N630" i="2" a="1"/>
  <c r="N630" i="2" s="1"/>
  <c r="N631" i="2" a="1"/>
  <c r="N631" i="2"/>
  <c r="N632" i="2" a="1"/>
  <c r="N632" i="2" s="1"/>
  <c r="N633" i="2" a="1"/>
  <c r="N633" i="2" s="1"/>
  <c r="N634" i="2" a="1"/>
  <c r="N634" i="2" s="1"/>
  <c r="N635" i="2" a="1"/>
  <c r="N635" i="2" s="1"/>
  <c r="N636" i="2" a="1"/>
  <c r="N636" i="2" s="1"/>
  <c r="N637" i="2" a="1"/>
  <c r="N637" i="2" s="1"/>
  <c r="N638" i="2" a="1"/>
  <c r="N638" i="2" s="1"/>
  <c r="N639" i="2" a="1"/>
  <c r="N639" i="2" s="1"/>
  <c r="N640" i="2" a="1"/>
  <c r="N640" i="2" s="1"/>
  <c r="N641" i="2" a="1"/>
  <c r="N641" i="2" s="1"/>
  <c r="N642" i="2" a="1"/>
  <c r="N642" i="2"/>
  <c r="N643" i="2" a="1"/>
  <c r="N643" i="2" s="1"/>
  <c r="N644" i="2" a="1"/>
  <c r="N644" i="2" s="1"/>
  <c r="N645" i="2" a="1"/>
  <c r="N645" i="2" s="1"/>
  <c r="N646" i="2" a="1"/>
  <c r="N646" i="2" s="1"/>
  <c r="N647" i="2" a="1"/>
  <c r="N647" i="2"/>
  <c r="N648" i="2" a="1"/>
  <c r="N648" i="2" s="1"/>
  <c r="N649" i="2" a="1"/>
  <c r="N649" i="2" s="1"/>
  <c r="N650" i="2" a="1"/>
  <c r="N650" i="2" s="1"/>
  <c r="N651" i="2" a="1"/>
  <c r="N651" i="2" s="1"/>
  <c r="N652" i="2" a="1"/>
  <c r="N652" i="2" s="1"/>
  <c r="N653" i="2" a="1"/>
  <c r="N653" i="2" s="1"/>
  <c r="N654" i="2" a="1"/>
  <c r="N654" i="2"/>
  <c r="N655" i="2" a="1"/>
  <c r="N655" i="2"/>
  <c r="N656" i="2" a="1"/>
  <c r="N656" i="2" s="1"/>
  <c r="N657" i="2" a="1"/>
  <c r="N657" i="2"/>
  <c r="N658" i="2" a="1"/>
  <c r="N658" i="2"/>
  <c r="N659" i="2" a="1"/>
  <c r="N659" i="2" s="1"/>
  <c r="N660" i="2" a="1"/>
  <c r="N660" i="2" s="1"/>
  <c r="N661" i="2" a="1"/>
  <c r="N661" i="2"/>
  <c r="N662" i="2" a="1"/>
  <c r="N662" i="2" s="1"/>
  <c r="N663" i="2" a="1"/>
  <c r="N663" i="2"/>
  <c r="N664" i="2" a="1"/>
  <c r="N664" i="2" s="1"/>
  <c r="N665" i="2" a="1"/>
  <c r="N665" i="2" s="1"/>
  <c r="N666" i="2" a="1"/>
  <c r="N666" i="2"/>
  <c r="N667" i="2" a="1"/>
  <c r="N667" i="2"/>
  <c r="N668" i="2" a="1"/>
  <c r="N668" i="2" s="1"/>
  <c r="N669" i="2" a="1"/>
  <c r="N669" i="2"/>
  <c r="N670" i="2" a="1"/>
  <c r="N670" i="2"/>
  <c r="N671" i="2" a="1"/>
  <c r="N671" i="2" s="1"/>
  <c r="N672" i="2" a="1"/>
  <c r="N672" i="2" s="1"/>
  <c r="N673" i="2" a="1"/>
  <c r="N673" i="2" s="1"/>
  <c r="N674" i="2" a="1"/>
  <c r="N674" i="2" s="1"/>
  <c r="N675" i="2" a="1"/>
  <c r="N675" i="2"/>
  <c r="N676" i="2" a="1"/>
  <c r="N676" i="2" s="1"/>
  <c r="N677" i="2" a="1"/>
  <c r="N677" i="2"/>
  <c r="N678" i="2" a="1"/>
  <c r="N678" i="2"/>
  <c r="N679" i="2" a="1"/>
  <c r="N679" i="2"/>
  <c r="N680" i="2" a="1"/>
  <c r="N680" i="2" s="1"/>
  <c r="N681" i="2" a="1"/>
  <c r="N681" i="2"/>
  <c r="N682" i="2" a="1"/>
  <c r="N682" i="2" s="1"/>
  <c r="N683" i="2" a="1"/>
  <c r="N683" i="2" s="1"/>
  <c r="N684" i="2" a="1"/>
  <c r="N684" i="2" s="1"/>
  <c r="N685" i="2" a="1"/>
  <c r="N685" i="2" s="1"/>
  <c r="N686" i="2" a="1"/>
  <c r="N686" i="2"/>
  <c r="N687" i="2" a="1"/>
  <c r="N687" i="2"/>
  <c r="N688" i="2" a="1"/>
  <c r="N688" i="2" s="1"/>
  <c r="N689" i="2" a="1"/>
  <c r="N689" i="2"/>
  <c r="N690" i="2" a="1"/>
  <c r="N690" i="2"/>
  <c r="N691" i="2" a="1"/>
  <c r="N691" i="2" s="1"/>
  <c r="N692" i="2" a="1"/>
  <c r="N692" i="2" s="1"/>
  <c r="N693" i="2" a="1"/>
  <c r="N693" i="2"/>
  <c r="N694" i="2" a="1"/>
  <c r="N694" i="2" s="1"/>
  <c r="N695" i="2" a="1"/>
  <c r="N695" i="2"/>
  <c r="N696" i="2" a="1"/>
  <c r="N696" i="2" s="1"/>
  <c r="N697" i="2" a="1"/>
  <c r="N697" i="2" s="1"/>
  <c r="N698" i="2" a="1"/>
  <c r="N698" i="2"/>
  <c r="N699" i="2" a="1"/>
  <c r="N699" i="2"/>
  <c r="N700" i="2" a="1"/>
  <c r="N700" i="2" s="1"/>
  <c r="N701" i="2" a="1"/>
  <c r="N701" i="2"/>
  <c r="N702" i="2" a="1"/>
  <c r="N702" i="2"/>
  <c r="N703" i="2" a="1"/>
  <c r="N703" i="2" s="1"/>
  <c r="N704" i="2" a="1"/>
  <c r="N704" i="2" s="1"/>
  <c r="N705" i="2" a="1"/>
  <c r="N705" i="2" s="1"/>
  <c r="N706" i="2" a="1"/>
  <c r="N706" i="2" s="1"/>
  <c r="N707" i="2" a="1"/>
  <c r="N707" i="2"/>
  <c r="N708" i="2" a="1"/>
  <c r="N708" i="2" s="1"/>
  <c r="N709" i="2" a="1"/>
  <c r="N709" i="2"/>
  <c r="N710" i="2" a="1"/>
  <c r="N710" i="2"/>
  <c r="N711" i="2" a="1"/>
  <c r="N711" i="2"/>
  <c r="N712" i="2" a="1"/>
  <c r="N712" i="2" s="1"/>
  <c r="N713" i="2" a="1"/>
  <c r="N713" i="2"/>
  <c r="N714" i="2" a="1"/>
  <c r="N714" i="2" s="1"/>
  <c r="N715" i="2" a="1"/>
  <c r="N715" i="2" s="1"/>
  <c r="N716" i="2" a="1"/>
  <c r="N716" i="2" s="1"/>
  <c r="N717" i="2" a="1"/>
  <c r="N717" i="2" s="1"/>
  <c r="N718" i="2" a="1"/>
  <c r="N718" i="2"/>
  <c r="N719" i="2" a="1"/>
  <c r="N719" i="2"/>
  <c r="N720" i="2" a="1"/>
  <c r="N720" i="2" s="1"/>
  <c r="N721" i="2" a="1"/>
  <c r="N721" i="2"/>
  <c r="N722" i="2" a="1"/>
  <c r="N722" i="2"/>
  <c r="N723" i="2" a="1"/>
  <c r="N723" i="2" s="1"/>
  <c r="N724" i="2" a="1"/>
  <c r="N724" i="2" s="1"/>
  <c r="N725" i="2" a="1"/>
  <c r="N725" i="2"/>
  <c r="N726" i="2" a="1"/>
  <c r="N726" i="2" s="1"/>
  <c r="N727" i="2" a="1"/>
  <c r="N727" i="2"/>
  <c r="N728" i="2" a="1"/>
  <c r="N728" i="2" s="1"/>
  <c r="N729" i="2" a="1"/>
  <c r="N729" i="2" s="1"/>
  <c r="N730" i="2" a="1"/>
  <c r="N730" i="2"/>
  <c r="N731" i="2" a="1"/>
  <c r="N731" i="2"/>
  <c r="N732" i="2" a="1"/>
  <c r="N732" i="2" s="1"/>
  <c r="N733" i="2" a="1"/>
  <c r="N733" i="2"/>
  <c r="N734" i="2" a="1"/>
  <c r="N734" i="2"/>
  <c r="N735" i="2" a="1"/>
  <c r="N735" i="2" s="1"/>
  <c r="N736" i="2" a="1"/>
  <c r="N736" i="2" s="1"/>
  <c r="N737" i="2" a="1"/>
  <c r="N737" i="2" s="1"/>
  <c r="N738" i="2" a="1"/>
  <c r="N738" i="2" s="1"/>
  <c r="N739" i="2" a="1"/>
  <c r="N739" i="2"/>
  <c r="N740" i="2" a="1"/>
  <c r="N740" i="2" s="1"/>
  <c r="N741" i="2" a="1"/>
  <c r="N741" i="2"/>
  <c r="N742" i="2" a="1"/>
  <c r="N742" i="2"/>
  <c r="N743" i="2" a="1"/>
  <c r="N743" i="2"/>
  <c r="N744" i="2" a="1"/>
  <c r="N744" i="2" s="1"/>
  <c r="N745" i="2" a="1"/>
  <c r="N745" i="2"/>
  <c r="N746" i="2" a="1"/>
  <c r="N746" i="2" s="1"/>
  <c r="N747" i="2" a="1"/>
  <c r="N747" i="2" s="1"/>
  <c r="N748" i="2" a="1"/>
  <c r="N748" i="2" s="1"/>
  <c r="N749" i="2" a="1"/>
  <c r="N749" i="2" s="1"/>
  <c r="N750" i="2" a="1"/>
  <c r="N750" i="2"/>
  <c r="N751" i="2" a="1"/>
  <c r="N751" i="2"/>
  <c r="N752" i="2" a="1"/>
  <c r="N752" i="2" s="1"/>
  <c r="N753" i="2" a="1"/>
  <c r="N753" i="2"/>
  <c r="N754" i="2" a="1"/>
  <c r="N754" i="2"/>
  <c r="N755" i="2" a="1"/>
  <c r="N755" i="2" s="1"/>
  <c r="N756" i="2" a="1"/>
  <c r="N756" i="2" s="1"/>
  <c r="N757" i="2" a="1"/>
  <c r="N757" i="2"/>
  <c r="N758" i="2" a="1"/>
  <c r="N758" i="2" s="1"/>
  <c r="N759" i="2" a="1"/>
  <c r="N759" i="2"/>
  <c r="N760" i="2" a="1"/>
  <c r="N760" i="2" s="1"/>
  <c r="N761" i="2" a="1"/>
  <c r="N761" i="2" s="1"/>
  <c r="N762" i="2" a="1"/>
  <c r="N762" i="2"/>
  <c r="N763" i="2" a="1"/>
  <c r="N763" i="2"/>
  <c r="N764" i="2" a="1"/>
  <c r="N764" i="2" s="1"/>
  <c r="N765" i="2" a="1"/>
  <c r="N765" i="2"/>
  <c r="N766" i="2" a="1"/>
  <c r="N766" i="2"/>
  <c r="N767" i="2" a="1"/>
  <c r="N767" i="2" s="1"/>
  <c r="N768" i="2" a="1"/>
  <c r="N768" i="2" s="1"/>
  <c r="N769" i="2" a="1"/>
  <c r="N769" i="2" s="1"/>
  <c r="N770" i="2" a="1"/>
  <c r="N770" i="2" s="1"/>
  <c r="N771" i="2" a="1"/>
  <c r="N771" i="2"/>
  <c r="N772" i="2" a="1"/>
  <c r="N772" i="2"/>
  <c r="N773" i="2" a="1"/>
  <c r="N773" i="2" s="1"/>
  <c r="N774" i="2" a="1"/>
  <c r="N774" i="2" s="1"/>
  <c r="N775" i="2" a="1"/>
  <c r="N775" i="2"/>
  <c r="N776" i="2" a="1"/>
  <c r="N776" i="2"/>
  <c r="N777" i="2" a="1"/>
  <c r="N777" i="2" s="1"/>
  <c r="N778" i="2" a="1"/>
  <c r="N778" i="2" s="1"/>
  <c r="N779" i="2" a="1"/>
  <c r="N779" i="2"/>
  <c r="N780" i="2" a="1"/>
  <c r="N780" i="2"/>
  <c r="N781" i="2" a="1"/>
  <c r="N781" i="2" s="1"/>
  <c r="N782" i="2" a="1"/>
  <c r="N782" i="2" s="1"/>
  <c r="N783" i="2" a="1"/>
  <c r="N783" i="2"/>
  <c r="N784" i="2" a="1"/>
  <c r="N784" i="2"/>
  <c r="N785" i="2" a="1"/>
  <c r="N785" i="2" s="1"/>
  <c r="N786" i="2" a="1"/>
  <c r="N786" i="2" s="1"/>
  <c r="N787" i="2" a="1"/>
  <c r="N787" i="2"/>
  <c r="N788" i="2" a="1"/>
  <c r="N788" i="2"/>
  <c r="N789" i="2" a="1"/>
  <c r="N789" i="2" s="1"/>
  <c r="N790" i="2" a="1"/>
  <c r="N790" i="2" s="1"/>
  <c r="N791" i="2" a="1"/>
  <c r="N791" i="2"/>
  <c r="N792" i="2" a="1"/>
  <c r="N792" i="2"/>
  <c r="N793" i="2" a="1"/>
  <c r="N793" i="2" s="1"/>
  <c r="N794" i="2" a="1"/>
  <c r="N794" i="2" s="1"/>
  <c r="N795" i="2" a="1"/>
  <c r="N795" i="2"/>
  <c r="N796" i="2" a="1"/>
  <c r="N796" i="2"/>
  <c r="N797" i="2" a="1"/>
  <c r="N797" i="2" s="1"/>
  <c r="N798" i="2" a="1"/>
  <c r="N798" i="2" s="1"/>
  <c r="N799" i="2" a="1"/>
  <c r="N799" i="2"/>
  <c r="N800" i="2" a="1"/>
  <c r="N800" i="2"/>
  <c r="N801" i="2" a="1"/>
  <c r="N801" i="2" s="1"/>
  <c r="N802" i="2" a="1"/>
  <c r="N802" i="2" s="1"/>
  <c r="N803" i="2" a="1"/>
  <c r="N803" i="2"/>
  <c r="N804" i="2" a="1"/>
  <c r="N804" i="2"/>
  <c r="N805" i="2" a="1"/>
  <c r="N805" i="2" s="1"/>
  <c r="N806" i="2" a="1"/>
  <c r="N806" i="2" s="1"/>
  <c r="N807" i="2" a="1"/>
  <c r="N807" i="2"/>
  <c r="N808" i="2" a="1"/>
  <c r="N808" i="2"/>
  <c r="N809" i="2" a="1"/>
  <c r="N809" i="2" s="1"/>
  <c r="N810" i="2" a="1"/>
  <c r="N810" i="2" s="1"/>
  <c r="N811" i="2" a="1"/>
  <c r="N811" i="2"/>
  <c r="N812" i="2" a="1"/>
  <c r="N812" i="2"/>
  <c r="N813" i="2" a="1"/>
  <c r="N813" i="2" s="1"/>
  <c r="N814" i="2" a="1"/>
  <c r="N814" i="2" s="1"/>
  <c r="N815" i="2" a="1"/>
  <c r="N815" i="2"/>
  <c r="N816" i="2" a="1"/>
  <c r="N816" i="2" s="1"/>
  <c r="N817" i="2" a="1"/>
  <c r="N817" i="2" s="1"/>
  <c r="N818" i="2" a="1"/>
  <c r="N818" i="2" s="1"/>
  <c r="N819" i="2" a="1"/>
  <c r="N819" i="2"/>
  <c r="N820" i="2" a="1"/>
  <c r="N820" i="2" s="1"/>
  <c r="N821" i="2" a="1"/>
  <c r="N821" i="2" s="1"/>
  <c r="N822" i="2" a="1"/>
  <c r="N822" i="2" s="1"/>
  <c r="N823" i="2" a="1"/>
  <c r="N823" i="2"/>
  <c r="N824" i="2" a="1"/>
  <c r="N824" i="2" s="1"/>
  <c r="N825" i="2" a="1"/>
  <c r="N825" i="2" s="1"/>
  <c r="N826" i="2" a="1"/>
  <c r="N826" i="2" s="1"/>
  <c r="N827" i="2" a="1"/>
  <c r="N827" i="2"/>
  <c r="N828" i="2" a="1"/>
  <c r="N828" i="2" s="1"/>
  <c r="N829" i="2" a="1"/>
  <c r="N829" i="2" s="1"/>
  <c r="N830" i="2" a="1"/>
  <c r="N830" i="2" s="1"/>
  <c r="N831" i="2" a="1"/>
  <c r="N831" i="2"/>
  <c r="N832" i="2" a="1"/>
  <c r="N832" i="2" s="1"/>
  <c r="N833" i="2" a="1"/>
  <c r="N833" i="2" s="1"/>
  <c r="N834" i="2" a="1"/>
  <c r="N834" i="2" s="1"/>
  <c r="N835" i="2" a="1"/>
  <c r="N835" i="2"/>
  <c r="N836" i="2" a="1"/>
  <c r="N836" i="2" s="1"/>
  <c r="N837" i="2" a="1"/>
  <c r="N837" i="2" s="1"/>
  <c r="N838" i="2" a="1"/>
  <c r="N838" i="2" s="1"/>
  <c r="N839" i="2" a="1"/>
  <c r="N839" i="2"/>
  <c r="N840" i="2" a="1"/>
  <c r="N840" i="2" s="1"/>
  <c r="N841" i="2" a="1"/>
  <c r="N841" i="2" s="1"/>
  <c r="N842" i="2" a="1"/>
  <c r="N842" i="2" s="1"/>
  <c r="N843" i="2" a="1"/>
  <c r="N843" i="2"/>
  <c r="N844" i="2" a="1"/>
  <c r="N844" i="2" s="1"/>
  <c r="N845" i="2" a="1"/>
  <c r="N845" i="2" s="1"/>
  <c r="N846" i="2" a="1"/>
  <c r="N846" i="2" s="1"/>
  <c r="N847" i="2" a="1"/>
  <c r="N847" i="2"/>
  <c r="N848" i="2" a="1"/>
  <c r="N848" i="2" s="1"/>
  <c r="N849" i="2" a="1"/>
  <c r="N849" i="2" s="1"/>
  <c r="N850" i="2" a="1"/>
  <c r="N850" i="2" s="1"/>
  <c r="N851" i="2" a="1"/>
  <c r="N851" i="2"/>
  <c r="N852" i="2" a="1"/>
  <c r="N852" i="2" s="1"/>
  <c r="N853" i="2" a="1"/>
  <c r="N853" i="2" s="1"/>
  <c r="N854" i="2" a="1"/>
  <c r="N854" i="2" s="1"/>
  <c r="N855" i="2" a="1"/>
  <c r="N855" i="2"/>
  <c r="N856" i="2" a="1"/>
  <c r="N856" i="2" s="1"/>
  <c r="N857" i="2" a="1"/>
  <c r="N857" i="2" s="1"/>
  <c r="N858" i="2" a="1"/>
  <c r="N858" i="2" s="1"/>
  <c r="N859" i="2" a="1"/>
  <c r="N859" i="2"/>
  <c r="N860" i="2" a="1"/>
  <c r="N860" i="2" s="1"/>
  <c r="N861" i="2" a="1"/>
  <c r="N861" i="2" s="1"/>
  <c r="N862" i="2" a="1"/>
  <c r="N862" i="2" s="1"/>
  <c r="N863" i="2" a="1"/>
  <c r="N863" i="2"/>
  <c r="N864" i="2" a="1"/>
  <c r="N864" i="2" s="1"/>
  <c r="N865" i="2" a="1"/>
  <c r="N865" i="2" s="1"/>
  <c r="N866" i="2" a="1"/>
  <c r="N866" i="2" s="1"/>
  <c r="N867" i="2" a="1"/>
  <c r="N867" i="2"/>
  <c r="N868" i="2" a="1"/>
  <c r="N868" i="2" s="1"/>
  <c r="N869" i="2" a="1"/>
  <c r="N869" i="2" s="1"/>
  <c r="N870" i="2" a="1"/>
  <c r="N870" i="2" s="1"/>
  <c r="N871" i="2" a="1"/>
  <c r="N871" i="2"/>
  <c r="N872" i="2" a="1"/>
  <c r="N872" i="2" s="1"/>
  <c r="N873" i="2" a="1"/>
  <c r="N873" i="2" s="1"/>
  <c r="N874" i="2" a="1"/>
  <c r="N874" i="2" s="1"/>
  <c r="N875" i="2" a="1"/>
  <c r="N875" i="2"/>
  <c r="N876" i="2" a="1"/>
  <c r="N876" i="2" s="1"/>
  <c r="N877" i="2" a="1"/>
  <c r="N877" i="2" s="1"/>
  <c r="N878" i="2" a="1"/>
  <c r="N878" i="2" s="1"/>
  <c r="N879" i="2" a="1"/>
  <c r="N879" i="2"/>
  <c r="N880" i="2" a="1"/>
  <c r="N880" i="2" s="1"/>
  <c r="N881" i="2" a="1"/>
  <c r="N881" i="2" s="1"/>
  <c r="N882" i="2" a="1"/>
  <c r="N882" i="2" s="1"/>
  <c r="N883" i="2" a="1"/>
  <c r="N883" i="2"/>
  <c r="N884" i="2" a="1"/>
  <c r="N884" i="2" s="1"/>
  <c r="N885" i="2" a="1"/>
  <c r="N885" i="2" s="1"/>
  <c r="N886" i="2" a="1"/>
  <c r="N886" i="2" s="1"/>
  <c r="N887" i="2" a="1"/>
  <c r="N887" i="2"/>
  <c r="N888" i="2" a="1"/>
  <c r="N888" i="2" s="1"/>
  <c r="N889" i="2" a="1"/>
  <c r="N889" i="2" s="1"/>
  <c r="N890" i="2" a="1"/>
  <c r="N890" i="2" s="1"/>
  <c r="N891" i="2" a="1"/>
  <c r="N891" i="2"/>
  <c r="N892" i="2" a="1"/>
  <c r="N892" i="2" s="1"/>
  <c r="N893" i="2" a="1"/>
  <c r="N893" i="2" s="1"/>
  <c r="N894" i="2" a="1"/>
  <c r="N894" i="2" s="1"/>
  <c r="N895" i="2" a="1"/>
  <c r="N895" i="2"/>
  <c r="N896" i="2" a="1"/>
  <c r="N896" i="2" s="1"/>
  <c r="N897" i="2" a="1"/>
  <c r="N897" i="2" s="1"/>
  <c r="N898" i="2" a="1"/>
  <c r="N898" i="2" s="1"/>
  <c r="N899" i="2" a="1"/>
  <c r="N899" i="2"/>
  <c r="N900" i="2" a="1"/>
  <c r="N900" i="2" s="1"/>
  <c r="N901" i="2" a="1"/>
  <c r="N901" i="2" s="1"/>
  <c r="N902" i="2" a="1"/>
  <c r="N902" i="2" s="1"/>
  <c r="N903" i="2" a="1"/>
  <c r="N903" i="2"/>
  <c r="N904" i="2" a="1"/>
  <c r="N904" i="2" s="1"/>
  <c r="N905" i="2" a="1"/>
  <c r="N905" i="2" s="1"/>
  <c r="N906" i="2" a="1"/>
  <c r="N906" i="2" s="1"/>
  <c r="N907" i="2" a="1"/>
  <c r="N907" i="2"/>
  <c r="N908" i="2" a="1"/>
  <c r="N908" i="2" s="1"/>
  <c r="N909" i="2" a="1"/>
  <c r="N909" i="2" s="1"/>
  <c r="N910" i="2" a="1"/>
  <c r="N910" i="2" s="1"/>
  <c r="N911" i="2" a="1"/>
  <c r="N911" i="2"/>
  <c r="N912" i="2" a="1"/>
  <c r="N912" i="2" s="1"/>
  <c r="N913" i="2" a="1"/>
  <c r="N913" i="2" s="1"/>
  <c r="N914" i="2" a="1"/>
  <c r="N914" i="2" s="1"/>
  <c r="N915" i="2" a="1"/>
  <c r="N915" i="2"/>
  <c r="N916" i="2" a="1"/>
  <c r="N916" i="2" s="1"/>
  <c r="N917" i="2" a="1"/>
  <c r="N917" i="2" s="1"/>
  <c r="N918" i="2" a="1"/>
  <c r="N918" i="2" s="1"/>
  <c r="N919" i="2" a="1"/>
  <c r="N919" i="2"/>
  <c r="N920" i="2" a="1"/>
  <c r="N920" i="2" s="1"/>
  <c r="N921" i="2" a="1"/>
  <c r="N921" i="2" s="1"/>
  <c r="N922" i="2" a="1"/>
  <c r="N922" i="2" s="1"/>
  <c r="N923" i="2" a="1"/>
  <c r="N923" i="2"/>
  <c r="N924" i="2" a="1"/>
  <c r="N924" i="2" s="1"/>
  <c r="N925" i="2" a="1"/>
  <c r="N925" i="2" s="1"/>
  <c r="N926" i="2" a="1"/>
  <c r="N926" i="2" s="1"/>
  <c r="N927" i="2" a="1"/>
  <c r="N927" i="2"/>
  <c r="N928" i="2" a="1"/>
  <c r="N928" i="2" s="1"/>
  <c r="N929" i="2" a="1"/>
  <c r="N929" i="2" s="1"/>
  <c r="N930" i="2" a="1"/>
  <c r="N930" i="2" s="1"/>
  <c r="N931" i="2" a="1"/>
  <c r="N931" i="2"/>
  <c r="N932" i="2" a="1"/>
  <c r="N932" i="2" s="1"/>
  <c r="N933" i="2" a="1"/>
  <c r="N933" i="2" s="1"/>
  <c r="N934" i="2" a="1"/>
  <c r="N934" i="2" s="1"/>
  <c r="N935" i="2" a="1"/>
  <c r="N935" i="2"/>
  <c r="N936" i="2" a="1"/>
  <c r="N936" i="2" s="1"/>
  <c r="N937" i="2" a="1"/>
  <c r="N937" i="2" s="1"/>
  <c r="N938" i="2" a="1"/>
  <c r="N938" i="2" s="1"/>
  <c r="N939" i="2" a="1"/>
  <c r="N939" i="2"/>
  <c r="N940" i="2" a="1"/>
  <c r="N940" i="2" s="1"/>
  <c r="N941" i="2" a="1"/>
  <c r="N941" i="2" s="1"/>
  <c r="N942" i="2" a="1"/>
  <c r="N942" i="2" s="1"/>
  <c r="N943" i="2" a="1"/>
  <c r="N943" i="2"/>
  <c r="N944" i="2" a="1"/>
  <c r="N944" i="2" s="1"/>
  <c r="N945" i="2" a="1"/>
  <c r="N945" i="2" s="1"/>
  <c r="N946" i="2" a="1"/>
  <c r="N946" i="2" s="1"/>
  <c r="N947" i="2" a="1"/>
  <c r="N947" i="2"/>
  <c r="N948" i="2" a="1"/>
  <c r="N948" i="2" s="1"/>
  <c r="N949" i="2" a="1"/>
  <c r="N949" i="2" s="1"/>
  <c r="N950" i="2" a="1"/>
  <c r="N950" i="2" s="1"/>
  <c r="N951" i="2" a="1"/>
  <c r="N951" i="2"/>
  <c r="N952" i="2" a="1"/>
  <c r="N952" i="2" s="1"/>
  <c r="N953" i="2" a="1"/>
  <c r="N953" i="2" s="1"/>
  <c r="N954" i="2" a="1"/>
  <c r="N954" i="2" s="1"/>
  <c r="N955" i="2" a="1"/>
  <c r="N955" i="2"/>
  <c r="N956" i="2" a="1"/>
  <c r="N956" i="2" s="1"/>
  <c r="N957" i="2" a="1"/>
  <c r="N957" i="2" s="1"/>
  <c r="N958" i="2" a="1"/>
  <c r="N958" i="2" s="1"/>
  <c r="N959" i="2" a="1"/>
  <c r="N959" i="2"/>
  <c r="N960" i="2" a="1"/>
  <c r="N960" i="2" s="1"/>
  <c r="N961" i="2" a="1"/>
  <c r="N961" i="2" s="1"/>
  <c r="N962" i="2" a="1"/>
  <c r="N962" i="2" s="1"/>
  <c r="N963" i="2" a="1"/>
  <c r="N963" i="2"/>
  <c r="N964" i="2" a="1"/>
  <c r="N964" i="2" s="1"/>
  <c r="N965" i="2" a="1"/>
  <c r="N965" i="2" s="1"/>
  <c r="N966" i="2" a="1"/>
  <c r="N966" i="2" s="1"/>
  <c r="N967" i="2" a="1"/>
  <c r="N967" i="2"/>
  <c r="N968" i="2" a="1"/>
  <c r="N968" i="2" s="1"/>
  <c r="N969" i="2" a="1"/>
  <c r="N969" i="2" s="1"/>
  <c r="N970" i="2" a="1"/>
  <c r="N970" i="2" s="1"/>
  <c r="N971" i="2" a="1"/>
  <c r="N971" i="2"/>
  <c r="N972" i="2" a="1"/>
  <c r="N972" i="2" s="1"/>
  <c r="N973" i="2" a="1"/>
  <c r="N973" i="2" s="1"/>
  <c r="N974" i="2" a="1"/>
  <c r="N974" i="2" s="1"/>
  <c r="N975" i="2" a="1"/>
  <c r="N975" i="2"/>
  <c r="N976" i="2" a="1"/>
  <c r="N976" i="2" s="1"/>
  <c r="N977" i="2" a="1"/>
  <c r="N977" i="2" s="1"/>
  <c r="N978" i="2" a="1"/>
  <c r="N978" i="2" s="1"/>
  <c r="N979" i="2" a="1"/>
  <c r="N979" i="2"/>
  <c r="N980" i="2" a="1"/>
  <c r="N980" i="2" s="1"/>
  <c r="N981" i="2" a="1"/>
  <c r="N981" i="2" s="1"/>
  <c r="N982" i="2" a="1"/>
  <c r="N982" i="2" s="1"/>
  <c r="N983" i="2" a="1"/>
  <c r="N983" i="2"/>
  <c r="N984" i="2" a="1"/>
  <c r="N984" i="2" s="1"/>
  <c r="N985" i="2" a="1"/>
  <c r="N985" i="2" s="1"/>
  <c r="N986" i="2" a="1"/>
  <c r="N986" i="2" s="1"/>
  <c r="N987" i="2" a="1"/>
  <c r="N987" i="2"/>
  <c r="N988" i="2" a="1"/>
  <c r="N988" i="2" s="1"/>
  <c r="N989" i="2" a="1"/>
  <c r="N989" i="2" s="1"/>
  <c r="N990" i="2" a="1"/>
  <c r="N990" i="2" s="1"/>
  <c r="N991" i="2" a="1"/>
  <c r="N991" i="2"/>
  <c r="N992" i="2" a="1"/>
  <c r="N992" i="2" s="1"/>
  <c r="N993" i="2" a="1"/>
  <c r="N993" i="2" s="1"/>
  <c r="N994" i="2" a="1"/>
  <c r="N994" i="2" s="1"/>
  <c r="N995" i="2" a="1"/>
  <c r="N995" i="2"/>
  <c r="N996" i="2" a="1"/>
  <c r="N996" i="2" s="1"/>
  <c r="N997" i="2" a="1"/>
  <c r="N997" i="2" s="1"/>
  <c r="N998" i="2" a="1"/>
  <c r="N998" i="2" s="1"/>
  <c r="N999" i="2" a="1"/>
  <c r="N999" i="2"/>
  <c r="N1000" i="2" a="1"/>
  <c r="N1000" i="2" s="1"/>
  <c r="N1001" i="2" a="1"/>
  <c r="N1001" i="2" s="1"/>
  <c r="N2" i="2" a="1"/>
  <c r="N2" i="2" s="1"/>
  <c r="M2" i="2" a="1"/>
  <c r="M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<sst xmlns="http://schemas.openxmlformats.org/spreadsheetml/2006/main" count="8059" uniqueCount="1039">
  <si>
    <t>Text</t>
  </si>
  <si>
    <t>Categorical/Text</t>
  </si>
  <si>
    <t>Whole number</t>
  </si>
  <si>
    <t>Beauty, clothing, electronics</t>
  </si>
  <si>
    <t>Minimum is 18 and maximum is 64</t>
  </si>
  <si>
    <t>Valid</t>
  </si>
  <si>
    <t>Matches the formula</t>
  </si>
  <si>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</si>
  <si>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</si>
  <si>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</si>
  <si>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</si>
  <si>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</si>
  <si>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</si>
  <si>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</si>
  <si>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</si>
  <si>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</si>
  <si>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</si>
  <si>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</si>
  <si>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</si>
  <si>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</si>
  <si>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</si>
  <si>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</si>
  <si>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</si>
  <si>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</si>
  <si>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</si>
  <si>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</si>
  <si>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</si>
  <si>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</si>
  <si>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</si>
  <si>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</si>
  <si>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</si>
  <si>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</si>
  <si>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</si>
  <si>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</si>
  <si>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</si>
  <si>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</si>
  <si>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</si>
  <si>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</si>
  <si>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</si>
  <si>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</si>
  <si>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</si>
  <si>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</si>
  <si>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</si>
  <si>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</si>
  <si>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</si>
  <si>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</si>
  <si>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</si>
  <si>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</si>
  <si>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</si>
  <si>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</si>
  <si>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</si>
  <si>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</si>
  <si>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</si>
  <si>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</si>
  <si>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</si>
  <si>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</si>
  <si>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</si>
  <si>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</si>
  <si>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</si>
  <si>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</si>
  <si>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</si>
  <si>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</si>
  <si>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</si>
  <si>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</si>
  <si>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</si>
  <si>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</si>
  <si>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</si>
  <si>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</si>
  <si>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</si>
  <si>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</si>
  <si>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</si>
  <si>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</si>
  <si>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</si>
  <si>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</si>
  <si>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</si>
  <si>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</si>
  <si>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</si>
  <si>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</si>
  <si>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</si>
  <si>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</si>
  <si>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</si>
  <si>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</si>
  <si>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</si>
  <si>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</si>
  <si>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</si>
  <si>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</si>
  <si>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</si>
  <si>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</si>
  <si>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</si>
  <si>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</si>
  <si>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</si>
  <si>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</si>
  <si>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</si>
  <si>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</si>
  <si>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</si>
  <si>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</si>
  <si>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</si>
  <si>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</si>
  <si>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</si>
  <si>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</si>
  <si>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</si>
  <si>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</si>
  <si>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</si>
  <si>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</si>
  <si>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</si>
  <si>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</si>
  <si>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</si>
  <si>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</si>
  <si>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</si>
  <si>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</si>
  <si>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</si>
  <si>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</si>
  <si>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</si>
  <si>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</si>
  <si>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</si>
  <si>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</si>
  <si>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</si>
  <si>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</si>
  <si>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</si>
  <si>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</si>
  <si>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</si>
  <si>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</si>
  <si>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</si>
  <si>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</si>
  <si>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</si>
  <si>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</si>
  <si>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</si>
  <si>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</si>
  <si>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</si>
  <si>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</si>
  <si>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</si>
  <si>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</si>
  <si>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</si>
  <si>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</si>
  <si>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</si>
  <si>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</si>
  <si>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</si>
  <si>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</si>
  <si>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</si>
  <si>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</si>
  <si>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</si>
  <si>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</si>
  <si>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</si>
  <si>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</si>
  <si>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</si>
  <si>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</si>
  <si>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</si>
  <si>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</si>
  <si>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</si>
  <si>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</si>
  <si>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</si>
  <si>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</si>
  <si>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</si>
  <si>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</si>
  <si>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</si>
  <si>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</si>
  <si>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</si>
  <si>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</si>
  <si>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</si>
  <si>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</si>
  <si>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</si>
  <si>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</si>
  <si>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</si>
  <si>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</si>
  <si>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</si>
  <si>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</si>
  <si>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</si>
  <si>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</si>
  <si>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</si>
  <si>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</si>
  <si>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</si>
  <si>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</si>
  <si>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</si>
  <si>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</si>
  <si>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</si>
  <si>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</si>
  <si>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</si>
  <si>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</si>
  <si>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</si>
  <si>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</si>
  <si>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</si>
  <si>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</si>
  <si>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</si>
  <si>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</si>
  <si>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</si>
  <si>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</si>
  <si>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</si>
  <si>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</si>
  <si>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</si>
  <si>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</si>
  <si>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</si>
  <si>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</si>
  <si>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</si>
  <si>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</si>
  <si>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</si>
  <si>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</si>
  <si>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</si>
  <si>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</si>
  <si>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</si>
  <si>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</si>
  <si>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</si>
  <si>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</si>
  <si>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</si>
  <si>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</si>
  <si>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</si>
  <si>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</si>
  <si>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</si>
  <si>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</si>
  <si>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</si>
  <si>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</si>
  <si>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</si>
  <si>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</si>
  <si>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</si>
  <si>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</si>
  <si>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</si>
  <si>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</si>
  <si>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</si>
  <si>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</si>
  <si>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</si>
  <si>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</si>
  <si>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</si>
  <si>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</si>
  <si>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</si>
  <si>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</si>
  <si>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</si>
  <si>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</si>
  <si>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</si>
  <si>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</si>
  <si>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</si>
  <si>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</si>
  <si>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</si>
  <si>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</si>
  <si>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</si>
  <si>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</si>
  <si>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</si>
  <si>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</si>
  <si>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</si>
  <si>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</si>
  <si>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</si>
  <si>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</si>
  <si>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</si>
  <si>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</si>
  <si>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</si>
  <si>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</si>
  <si>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</si>
  <si>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</si>
  <si>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</si>
  <si>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</si>
  <si>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</si>
  <si>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</si>
  <si>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</si>
  <si>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</si>
  <si>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</si>
  <si>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</si>
  <si>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</si>
  <si>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</si>
  <si>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</si>
  <si>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</si>
  <si>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</si>
  <si>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</si>
  <si>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</si>
  <si>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</si>
  <si>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</si>
  <si>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</si>
  <si>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</si>
  <si>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</si>
  <si>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</si>
  <si>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</si>
  <si>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</si>
  <si>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</si>
  <si>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</si>
  <si>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</si>
  <si>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</si>
  <si>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</si>
  <si>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</si>
  <si>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</si>
  <si>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</si>
  <si>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</si>
  <si>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</si>
  <si>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</si>
  <si>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</si>
  <si>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</si>
  <si>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</si>
  <si>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</si>
  <si>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</si>
  <si>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</si>
  <si>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</si>
  <si>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</si>
  <si>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</si>
  <si>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</si>
  <si>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</si>
  <si>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</si>
  <si>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</si>
  <si>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</si>
  <si>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</si>
  <si>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</si>
  <si>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</si>
  <si>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</si>
  <si>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</si>
  <si>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</si>
  <si>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</si>
  <si>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</si>
  <si>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</si>
  <si>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</si>
  <si>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</si>
  <si>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</si>
  <si>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</si>
  <si>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</si>
  <si>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</si>
  <si>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</si>
  <si>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</si>
  <si>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</si>
  <si>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</si>
  <si>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</si>
  <si>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</si>
  <si>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</si>
  <si>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</si>
  <si>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</si>
  <si>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</si>
  <si>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</si>
  <si>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</si>
  <si>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</si>
  <si>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</si>
  <si>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</si>
  <si>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</si>
  <si>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</si>
  <si>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</si>
  <si>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</si>
  <si>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</si>
  <si>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</si>
  <si>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</si>
  <si>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</si>
  <si>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</si>
  <si>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</si>
  <si>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</si>
  <si>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</si>
  <si>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</si>
  <si>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</si>
  <si>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</si>
  <si>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</si>
  <si>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</si>
  <si>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</si>
  <si>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</si>
  <si>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</si>
  <si>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</si>
  <si>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</si>
  <si>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</si>
  <si>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</si>
  <si>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</si>
  <si>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</si>
  <si>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</si>
  <si>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</si>
  <si>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</si>
  <si>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</si>
  <si>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</si>
  <si>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</si>
  <si>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</si>
  <si>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</si>
  <si>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</si>
  <si>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</si>
  <si>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</si>
  <si>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</si>
  <si>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</si>
  <si>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</si>
  <si>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</si>
  <si>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</si>
  <si>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</si>
  <si>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</si>
  <si>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</si>
  <si>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</si>
  <si>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</si>
  <si>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</si>
  <si>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</si>
  <si>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</si>
  <si>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</si>
  <si>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</si>
  <si>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</si>
  <si>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</si>
  <si>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</si>
  <si>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</si>
  <si>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</si>
  <si>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</si>
  <si>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</si>
  <si>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</si>
  <si>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</si>
  <si>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</si>
  <si>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</si>
  <si>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</si>
  <si>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</si>
  <si>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</si>
  <si>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</si>
  <si>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</si>
  <si>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</si>
  <si>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</si>
  <si>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</si>
  <si>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</si>
  <si>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</si>
  <si>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</si>
  <si>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</si>
  <si>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</si>
  <si>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</si>
  <si>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</si>
  <si>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</si>
  <si>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</si>
  <si>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</si>
  <si>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</si>
  <si>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</si>
  <si>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</si>
  <si>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</si>
  <si>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</si>
  <si>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</si>
  <si>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</si>
  <si>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</si>
  <si>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</si>
  <si>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</si>
  <si>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</si>
  <si>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</si>
  <si>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</si>
  <si>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</si>
  <si>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</si>
  <si>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</si>
  <si>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</si>
  <si>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</si>
  <si>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</si>
  <si>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</si>
  <si>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</si>
  <si>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</si>
  <si>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</si>
  <si>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</si>
  <si>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</si>
  <si>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</si>
  <si>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</si>
  <si>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</si>
  <si>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</si>
  <si>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</si>
  <si>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</si>
  <si>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</si>
  <si>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</si>
  <si>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</si>
  <si>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</si>
  <si>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</si>
  <si>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</si>
  <si>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</si>
  <si>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</si>
  <si>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</si>
  <si>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</si>
  <si>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</si>
  <si>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</si>
  <si>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</si>
  <si>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</si>
  <si>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</si>
  <si>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</si>
  <si>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</si>
  <si>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</si>
  <si>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</si>
  <si>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</si>
  <si>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</si>
  <si>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</si>
  <si>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</si>
  <si>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</si>
  <si>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</si>
  <si>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</si>
  <si>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</si>
  <si>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</si>
  <si>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</si>
  <si>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</si>
  <si>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</si>
  <si>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</si>
  <si>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</si>
  <si>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</si>
  <si>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</si>
  <si>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</si>
  <si>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</si>
  <si>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</si>
  <si>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</si>
  <si>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</si>
  <si>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</si>
  <si>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</si>
  <si>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</si>
  <si>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</si>
  <si>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</si>
  <si>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</si>
  <si>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</si>
  <si>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</si>
  <si>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</si>
  <si>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</si>
  <si>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</si>
  <si>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</si>
  <si>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</si>
  <si>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</si>
  <si>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</si>
  <si>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</si>
  <si>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</si>
  <si>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</si>
  <si>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</si>
  <si>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</si>
  <si>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</si>
  <si>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</si>
  <si>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</si>
  <si>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</si>
  <si>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</si>
  <si>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</si>
  <si>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</si>
  <si>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</si>
  <si>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</si>
  <si>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</si>
  <si>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</si>
  <si>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</si>
  <si>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</si>
  <si>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</si>
  <si>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</si>
  <si>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</si>
  <si>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</si>
  <si>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</si>
  <si>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</si>
  <si>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</si>
  <si>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</si>
  <si>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</si>
  <si>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</si>
  <si>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</si>
  <si>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</si>
  <si>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</si>
  <si>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</si>
  <si>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</si>
  <si>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</si>
  <si>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</si>
  <si>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</si>
  <si>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</si>
  <si>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</si>
  <si>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</si>
  <si>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</si>
  <si>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</si>
  <si>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</si>
  <si>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</si>
  <si>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</si>
  <si>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</si>
  <si>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</si>
  <si>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</si>
  <si>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</si>
  <si>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</si>
  <si>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</si>
  <si>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</si>
  <si>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</si>
  <si>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</si>
  <si>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</si>
  <si>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</si>
  <si>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</si>
  <si>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</si>
  <si>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</si>
  <si>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</si>
  <si>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</si>
  <si>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</si>
  <si>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</si>
  <si>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</si>
  <si>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</si>
  <si>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</si>
  <si>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</si>
  <si>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</si>
  <si>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</si>
  <si>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</si>
  <si>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</si>
  <si>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</si>
  <si>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</si>
  <si>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</si>
  <si>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</si>
  <si>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</si>
  <si>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</si>
  <si>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</si>
  <si>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</si>
  <si>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</si>
  <si>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</si>
  <si>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</si>
  <si>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</si>
  <si>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</si>
  <si>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</si>
  <si>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</si>
  <si>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</si>
  <si>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</si>
  <si>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</si>
  <si>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</si>
  <si>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</si>
  <si>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</si>
  <si>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</si>
  <si>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</si>
  <si>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</si>
  <si>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</si>
  <si>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</si>
  <si>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</si>
  <si>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</si>
  <si>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</si>
  <si>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</si>
  <si>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</si>
  <si>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</si>
  <si>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</si>
  <si>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</si>
  <si>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</si>
  <si>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</si>
  <si>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</si>
  <si>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</si>
  <si>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</si>
  <si>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</si>
  <si>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</si>
  <si>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</si>
  <si>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</si>
  <si>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</si>
  <si>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</si>
  <si>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</si>
  <si>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</si>
  <si>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</si>
  <si>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</si>
  <si>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</si>
  <si>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</si>
  <si>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</si>
  <si>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</si>
  <si>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</si>
  <si>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</si>
  <si>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</si>
  <si>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</si>
  <si>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</si>
  <si>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</si>
  <si>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</si>
  <si>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</si>
  <si>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</si>
  <si>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</si>
  <si>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</si>
  <si>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</si>
  <si>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</si>
  <si>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</si>
  <si>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</si>
  <si>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</si>
  <si>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</si>
  <si>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</si>
  <si>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</si>
  <si>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</si>
  <si>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</si>
  <si>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</si>
  <si>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</si>
  <si>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</si>
  <si>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</si>
  <si>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</si>
  <si>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</si>
  <si>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</si>
  <si>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</si>
  <si>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</si>
  <si>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</si>
  <si>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</si>
  <si>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</si>
  <si>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</si>
  <si>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</si>
  <si>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</si>
  <si>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</si>
  <si>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</si>
  <si>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</si>
  <si>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</si>
  <si>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</si>
  <si>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</si>
  <si>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</si>
  <si>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</si>
  <si>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</si>
  <si>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</si>
  <si>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</si>
  <si>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</si>
  <si>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</si>
  <si>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</si>
  <si>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</si>
  <si>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</si>
  <si>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</si>
  <si>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</si>
  <si>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</si>
  <si>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</si>
  <si>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</si>
  <si>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</si>
  <si>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</si>
  <si>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</si>
  <si>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</si>
  <si>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</si>
  <si>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</si>
  <si>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</si>
  <si>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</si>
  <si>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</si>
  <si>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</si>
  <si>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</si>
  <si>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</si>
  <si>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</si>
  <si>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</si>
  <si>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</si>
  <si>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</si>
  <si>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</si>
  <si>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</si>
  <si>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</si>
  <si>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</si>
  <si>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</si>
  <si>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</si>
  <si>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</si>
  <si>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</si>
  <si>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</si>
  <si>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</si>
  <si>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</si>
  <si>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</si>
  <si>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</si>
  <si>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</si>
  <si>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</si>
  <si>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</si>
  <si>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</si>
  <si>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</si>
  <si>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</si>
  <si>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</si>
  <si>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</si>
  <si>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</si>
  <si>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</si>
  <si>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</si>
  <si>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</si>
  <si>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</si>
  <si>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</si>
  <si>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</si>
  <si>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</si>
  <si>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</si>
  <si>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</si>
  <si>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</si>
  <si>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</si>
  <si>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</si>
  <si>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</si>
  <si>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</si>
  <si>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</si>
  <si>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</si>
  <si>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</si>
  <si>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</si>
  <si>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</si>
  <si>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</si>
  <si>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</si>
  <si>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</si>
  <si>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</si>
  <si>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</si>
  <si>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</si>
  <si>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</si>
  <si>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</si>
  <si>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</si>
  <si>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</si>
  <si>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</si>
  <si>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</si>
  <si>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</si>
  <si>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</si>
  <si>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</si>
  <si>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</si>
  <si>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</si>
  <si>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</si>
  <si>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</si>
  <si>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</si>
  <si>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</si>
  <si>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</si>
  <si>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</si>
  <si>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</si>
  <si>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</si>
  <si>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</si>
  <si>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</si>
  <si>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</si>
  <si>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</si>
  <si>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</si>
  <si>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</si>
  <si>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</si>
  <si>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</si>
  <si>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</si>
  <si>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</si>
  <si>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</si>
  <si>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</si>
  <si>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</si>
  <si>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</si>
  <si>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</si>
  <si>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</si>
  <si>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</si>
  <si>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</si>
  <si>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</si>
  <si>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</si>
  <si>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</si>
  <si>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</si>
  <si>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</si>
  <si>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</si>
  <si>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</si>
  <si>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</si>
  <si>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</si>
  <si>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</si>
  <si>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</si>
  <si>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</si>
  <si>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</si>
  <si>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</si>
  <si>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</si>
  <si>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</si>
  <si>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</si>
  <si>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</si>
  <si>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</si>
  <si>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</si>
  <si>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</si>
  <si>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</si>
  <si>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</si>
  <si>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</si>
  <si>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</si>
  <si>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</si>
  <si>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</si>
  <si>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</si>
  <si>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</si>
  <si>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</si>
  <si>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</si>
  <si>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</si>
  <si>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</si>
  <si>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</si>
  <si>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</si>
  <si>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</si>
  <si>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</si>
  <si>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</si>
  <si>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</si>
  <si>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</si>
  <si>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</si>
  <si>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</si>
  <si>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</si>
  <si>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</si>
  <si>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</si>
  <si>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</si>
  <si>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</si>
  <si>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</si>
  <si>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</si>
  <si>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</si>
  <si>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</si>
  <si>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</si>
  <si>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</si>
  <si>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</si>
  <si>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</si>
  <si>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</si>
  <si>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</si>
  <si>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</si>
  <si>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</si>
  <si>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</si>
  <si>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</si>
  <si>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</si>
  <si>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</si>
  <si>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</si>
  <si>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</si>
  <si>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</si>
  <si>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</si>
  <si>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</si>
  <si>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</si>
  <si>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</si>
  <si>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</si>
  <si>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</si>
  <si>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</si>
  <si>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</si>
  <si>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</si>
  <si>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</si>
  <si>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</si>
  <si>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</si>
  <si>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</si>
  <si>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</si>
  <si>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</si>
  <si>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</si>
  <si>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</si>
  <si>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</si>
  <si>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</si>
  <si>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</si>
  <si>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</si>
  <si>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</si>
  <si>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</si>
  <si>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</si>
  <si>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</si>
  <si>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</si>
  <si>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</si>
  <si>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</si>
  <si>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</si>
  <si>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</si>
  <si>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</si>
  <si>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</si>
  <si>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</si>
  <si>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</si>
  <si>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</si>
  <si>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</si>
  <si>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</si>
  <si>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</si>
  <si>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</si>
  <si>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</si>
  <si>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</si>
  <si>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</si>
  <si>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</si>
  <si>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</si>
  <si>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</si>
  <si>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</si>
  <si>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</si>
  <si>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</si>
  <si>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</si>
  <si>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</si>
  <si>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</si>
  <si>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</si>
  <si>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</si>
  <si>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</si>
  <si>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</si>
  <si>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</si>
  <si>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</si>
  <si>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</si>
  <si>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</si>
  <si>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</si>
  <si>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</si>
  <si>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</si>
  <si>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</si>
  <si>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</si>
  <si>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</si>
  <si>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</si>
  <si>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</si>
  <si>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</si>
  <si>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</si>
  <si>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</si>
  <si>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</si>
  <si>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</si>
  <si>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</si>
  <si>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</si>
  <si>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</si>
  <si>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</si>
  <si>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</si>
  <si>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</si>
  <si>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</si>
  <si>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</si>
  <si>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</si>
  <si>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</si>
  <si>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</si>
  <si>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</si>
  <si>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</si>
  <si>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</si>
  <si>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</si>
  <si>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</si>
  <si>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</si>
  <si>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</si>
  <si>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</si>
  <si>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</si>
  <si>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</si>
  <si>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</si>
  <si>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</si>
  <si>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</si>
  <si>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</si>
  <si>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</si>
  <si>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</si>
  <si>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</si>
  <si>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</si>
  <si>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</si>
  <si>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</si>
  <si>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</si>
  <si>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</si>
  <si>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</si>
  <si>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</si>
  <si>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</si>
  <si>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</si>
  <si>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</si>
  <si>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</si>
  <si>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</si>
  <si>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</si>
  <si>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</si>
  <si>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</si>
  <si>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</si>
  <si>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</si>
  <si>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</si>
  <si>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</si>
  <si>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</si>
  <si>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</si>
  <si>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</si>
  <si>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</si>
  <si>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</si>
  <si>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</si>
  <si>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</si>
  <si>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</si>
  <si>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</si>
  <si>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</si>
  <si>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</si>
  <si>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</si>
  <si>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</si>
  <si>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</si>
  <si>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</si>
  <si>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</si>
  <si>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</si>
  <si>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</si>
  <si>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</si>
  <si>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</si>
  <si>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</si>
  <si>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</si>
  <si>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</si>
  <si>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</si>
  <si>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</si>
  <si>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</si>
  <si>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</si>
  <si>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</si>
  <si>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</si>
  <si>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</si>
  <si>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</si>
  <si>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</si>
  <si>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</si>
  <si>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</si>
  <si>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</si>
  <si>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</si>
  <si>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</si>
  <si>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</si>
  <si>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</si>
  <si>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</si>
  <si>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</si>
  <si>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</si>
  <si>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</si>
  <si>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</si>
  <si>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</si>
  <si>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</si>
  <si>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</si>
  <si>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</si>
  <si>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</si>
  <si>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</si>
  <si>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</si>
  <si>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</si>
  <si>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</si>
  <si>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</si>
  <si>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</si>
  <si>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</si>
  <si>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</si>
  <si>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</si>
  <si>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</si>
  <si>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</si>
  <si>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</si>
  <si>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</si>
  <si>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</si>
  <si>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</si>
  <si>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</si>
  <si>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PART 1</t>
  </si>
  <si>
    <t>PART 2</t>
  </si>
  <si>
    <t>PART 3</t>
  </si>
  <si>
    <t>PART 4</t>
  </si>
  <si>
    <t>PART 5</t>
  </si>
  <si>
    <t>PART 6</t>
  </si>
  <si>
    <t>Calculated Total</t>
  </si>
  <si>
    <t>Amount Check</t>
  </si>
  <si>
    <t>Sales by Product Category</t>
  </si>
  <si>
    <t>Quantityby Product Category</t>
  </si>
  <si>
    <t>Sales by Gender</t>
  </si>
  <si>
    <t>PART 7</t>
  </si>
  <si>
    <t>PART 8</t>
  </si>
  <si>
    <t>Highest Sales Category is</t>
  </si>
  <si>
    <t>Lowest Sales Category is</t>
  </si>
  <si>
    <t>Average Customer age</t>
  </si>
  <si>
    <t xml:space="preserve">Highest Transcation Amount </t>
  </si>
  <si>
    <t>Highest Product Category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</si>
</sst>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DLaM Display"/>
    </font>
    <font>
      <sz val="11"/>
      <color theme="1"/>
      <name val="ADLaM Display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2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11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Total Sales by Product Category</a:t>
            </a:r>
          </a:p>
          <a:p>
            <a:pPr>
              <a:defRPr/>
            </a:pP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'Simple Category-Based Analysis'!$G$7:$G$9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'Simple Category-Based Analysis'!$H$7:$H$9</c:f>
              <c:numCache>
                <c:formatCode>General</c:formatCode>
                <c:ptCount val="3"/>
                <c:pt idx="0">
                  <c:v>143515</c:v>
                </c:pt>
                <c:pt idx="1">
                  <c:v>155580</c:v>
                </c:pt>
                <c:pt idx="2">
                  <c:v>156905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DA-4202-8DC5-F0570453BE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23061375"/>
        <c:axId val="656200015"/>
      </c:barChart>
      <c:catAx>
        <c:axId val="82306137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</a:t>
                </a:r>
                <a:r>
                  <a:rPr lang="en-US" baseline="0"/>
                  <a:t> Category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200015"/>
        <c:crosses val="autoZero"/>
        <c:auto val="1"/>
        <c:lblAlgn val="ctr"/>
        <c:lblOffset val="100"/>
        <c:noMultiLvlLbl val="0"/>
      </c:catAx>
      <c:valAx>
        <c:axId val="6562000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</a:t>
                </a:r>
                <a:r>
                  <a:rPr lang="en-US" baseline="0"/>
                  <a:t> Amount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061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Quantity Sold by Product Category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'Simple Category-Based Analysis'!$J$7:$J$9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'Simple Category-Based Analysis'!$K$7:$K$9</c:f>
              <c:numCache>
                <c:formatCode>General</c:formatCode>
                <c:ptCount val="3"/>
                <c:pt idx="0">
                  <c:v>771</c:v>
                </c:pt>
                <c:pt idx="1">
                  <c:v>894</c:v>
                </c:pt>
                <c:pt idx="2">
                  <c:v>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E2-4C6D-ABB9-222C5F20B8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4887807"/>
        <c:axId val="656197135"/>
      </c:barChart>
      <c:catAx>
        <c:axId val="10348878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</a:t>
                </a:r>
                <a:r>
                  <a:rPr lang="en-US" baseline="0"/>
                  <a:t> Category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197135"/>
        <c:crosses val="autoZero"/>
        <c:auto val="1"/>
        <c:lblAlgn val="ctr"/>
        <c:lblOffset val="100"/>
        <c:noMultiLvlLbl val="0"/>
      </c:catAx>
      <c:valAx>
        <c:axId val="65619713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</a:t>
                </a:r>
                <a:r>
                  <a:rPr lang="en-US" baseline="0"/>
                  <a:t> Quantity Sold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887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</a:t>
            </a:r>
            <a:r>
              <a:rPr lang="en-US" baseline="0"/>
              <a:t> by Gender</a:t>
            </a:r>
            <a:endParaRPr lang="en-US"/>
          </a:p>
        </c:rich>
      </c:tx>
      <c:layout>
        <c:manualLayout>
          <c:xMode val="edge"/>
          <c:yMode val="edge"/>
          <c:x val="0.39520122484689413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107-4845-B201-36661698A26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107-4845-B201-36661698A26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'Simple Category-Based Analysis'!$M$7:$M$8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'Simple Category-Based Analysis'!$N$7:$N$8</c:f>
              <c:numCache>
                <c:formatCode>General</c:formatCode>
                <c:ptCount val="2"/>
                <c:pt idx="0">
                  <c:v>223160</c:v>
                </c:pt>
                <c:pt idx="1">
                  <c:v>232840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107-4845-B201-36661698A26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</xdr:row>
      <xdr:rowOff>0</xdr:rowOff>
    </xdr:from>
    <xdr:to>
      <xdr:col>18</xdr:col>
      <xdr:colOff>344224</xdr:colOff>
      <xdr:row>3</xdr:row>
      <xdr:rowOff>161974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2238588-05B9-41F9-AD65-8F81252581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" y="400050"/>
          <a:ext cx="9488224" cy="352474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</xdr:row>
      <xdr:rowOff>0</xdr:rowOff>
    </xdr:from>
    <xdr:to>
      <xdr:col>16</xdr:col>
      <xdr:colOff>420265</xdr:colOff>
      <xdr:row>22</xdr:row>
      <xdr:rowOff>29004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9E55DF1-DAF7-4590-B7D7-279E0694BF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8800" y="1162050"/>
          <a:ext cx="8345065" cy="3077004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18</xdr:col>
      <xdr:colOff>134645</xdr:colOff>
      <xdr:row>38</xdr:row>
      <xdr:rowOff>133741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F360DCB-6727-49DB-9869-00034AF3C7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28800" y="4591050"/>
          <a:ext cx="9278645" cy="280074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2</xdr:row>
      <xdr:rowOff>180974</xdr:rowOff>
    </xdr:from>
    <xdr:to>
      <xdr:col>9</xdr:col>
      <xdr:colOff>0</xdr:colOff>
      <xdr:row>17</xdr:row>
      <xdr:rowOff>190499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37691A-C5D8-46FC-A55E-F61593E30F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9525</xdr:colOff>
      <xdr:row>2</xdr:row>
      <xdr:rowOff>180975</xdr:rowOff>
    </xdr:from>
    <xdr:to>
      <xdr:col>18</xdr:col>
      <xdr:colOff>0</xdr:colOff>
      <xdr:row>17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4BD1221-9EB2-4A03-9505-1050AA509A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557892</xdr:colOff>
      <xdr:row>19</xdr:row>
      <xdr:rowOff>9525</xdr:rowOff>
    </xdr:from>
    <xdr:to>
      <xdr:col>14</xdr:col>
      <xdr:colOff>24493</xdr:colOff>
      <xdr:row>31</xdr:row>
      <xdr:rowOff>163286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C67A76F-BCB2-45E2-B52B-9A52B9DB42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7980BC7-4F34-434C-8B5C-7A693165CB40}" name="Table5" displayName="Table5" ref="C1:K1001" totalsRowShown="0" headerRowDxfId="10" dataDxfId="9">
  <autoFilter ref="C1:K1001" xr:uid="{37980BC7-4F34-434C-8B5C-7A693165CB40}"/>
  <tableColumns count="9">
    <tableColumn id="1" xr3:uid="{F3175CEC-CE71-47DB-9312-9F2DB53013E1}" name="Transaction ID" dataDxfId="8"/>
    <tableColumn id="2" xr3:uid="{F38B1609-76D1-4E74-8E10-68A9F82C4B40}" name="Date" dataDxfId="7"/>
    <tableColumn id="3" xr3:uid="{8E2D2EFF-77E7-42C0-A86A-45629DEB47EB}" name="Customer ID" dataDxfId="6"/>
    <tableColumn id="4" xr3:uid="{3E6553F2-1AAB-4433-A4B6-A1E7B264595D}" name="Gender" dataDxfId="5"/>
    <tableColumn id="5" xr3:uid="{ACB0FB72-C772-4652-9603-55806F4DAD45}" name="Age" dataDxfId="4"/>
    <tableColumn id="6" xr3:uid="{6577E57D-F8C7-4F50-9C55-426C84C0A641}" name="Product Category" dataDxfId="3"/>
    <tableColumn id="7" xr3:uid="{C429596D-603D-44F6-BA24-0C732725ED9E}" name="Quantity" dataDxfId="2"/>
    <tableColumn id="8" xr3:uid="{C5A91FDF-8C81-4495-8B63-694CB5E4A9D1}" name="Price per Unit" dataDxfId="1"/>
    <tableColumn id="9" xr3:uid="{83CEC85F-4813-4754-BA84-B9810AB365F1}" name="Total Amou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DF3D5-373B-47C8-B6E3-8FFA63C1A6BA}">
  <dimension ref="C1:D10"/>
  <sheetViews>
    <sheetView tabSelected="1" workbookViewId="0">
      <selection activeCell="D1" sqref="D1"/>
    </sheetView>
  </sheetViews>
  <sheetFormatPr defaultRowHeight="15" x14ac:dyDescent="0.25"/>
  <cols>
    <col min="4" max="4" width="36.7109375" customWidth="1"/>
  </cols>
  <sheetData>
    <row r="1" spans="3:4" ht="16.5" x14ac:dyDescent="0.3">
      <c r="D1" s="8" t="s">
        <v>1021</v>
      </c>
    </row>
    <row r="4" spans="3:4" x14ac:dyDescent="0.25">
      <c r="C4">
        <v>1</v>
      </c>
      <c r="D4">
        <v>1000</v>
      </c>
    </row>
    <row r="5" spans="3:4" x14ac:dyDescent="0.25">
      <c r="C5">
        <v>2</v>
      </c>
      <c r="D5">
        <v>9</v>
      </c>
    </row>
    <row r="6" spans="3:4" x14ac:dyDescent="0.25">
      <c r="C6">
        <v>3</v>
      </c>
      <c r="D6" s="1" t="s">
        <v>0</v>
      </c>
    </row>
    <row r="7" spans="3:4" x14ac:dyDescent="0.25">
      <c r="C7">
        <v>4</v>
      </c>
      <c r="D7" s="1" t="s">
        <v>1</v>
      </c>
    </row>
    <row r="8" spans="3:4" x14ac:dyDescent="0.25">
      <c r="C8">
        <v>5</v>
      </c>
      <c r="D8" s="1" t="s">
        <v>2</v>
      </c>
    </row>
    <row r="9" spans="3:4" x14ac:dyDescent="0.25">
      <c r="C9">
        <v>6</v>
      </c>
      <c r="D9" s="1" t="s">
        <v>3</v>
      </c>
    </row>
    <row r="10" spans="3:4" x14ac:dyDescent="0.25">
      <c r="C10">
        <v>7</v>
      </c>
      <c r="D10" s="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B191F-115F-4344-933E-28C3CCE630B8}">
  <dimension ref="A1:N1001"/>
  <sheetViews>
    <sheetView topLeftCell="B1" zoomScaleNormal="100" workbookViewId="0">
      <pane ySplit="1" topLeftCell="A2" activePane="bottomLeft" state="frozen"/>
      <selection pane="bottomLeft" activeCell="N2" sqref="N2:N1001"/>
    </sheetView>
  </sheetViews>
  <sheetFormatPr defaultRowHeight="15" x14ac:dyDescent="0.25"/>
  <cols>
    <col min="3" max="3" width="18.5703125" bestFit="1" customWidth="1"/>
    <col min="4" max="4" width="12" customWidth="1"/>
    <col min="5" max="5" width="17" bestFit="1" customWidth="1"/>
    <col min="6" max="6" width="12.28515625" bestFit="1" customWidth="1"/>
    <col min="7" max="7" width="9.42578125" bestFit="1" customWidth="1"/>
    <col min="8" max="8" width="21.28515625" bestFit="1" customWidth="1"/>
    <col min="9" max="9" width="13.28515625" bestFit="1" customWidth="1"/>
    <col min="10" max="10" width="17.85546875" bestFit="1" customWidth="1"/>
    <col min="11" max="11" width="17.42578125" bestFit="1" customWidth="1"/>
    <col min="13" max="13" width="15.42578125" bestFit="1" customWidth="1"/>
  </cols>
  <sheetData>
    <row r="1" spans="1:14" ht="16.5" x14ac:dyDescent="0.3">
      <c r="A1" s="7" t="s">
        <v>1022</v>
      </c>
      <c r="C1" s="5" t="s">
        <v>7</v>
      </c>
      <c r="D1" s="5" t="s">
        <v>8</v>
      </c>
      <c r="E1" s="5" t="s">
        <v>9</v>
      </c>
      <c r="F1" s="5" t="s">
        <v>10</v>
      </c>
      <c r="G1" s="5" t="s">
        <v>11</v>
      </c>
      <c r="H1" s="5" t="s">
        <v>12</v>
      </c>
      <c r="I1" s="5" t="s">
        <v>13</v>
      </c>
      <c r="J1" s="5" t="s">
        <v>14</v>
      </c>
      <c r="K1" s="5" t="s">
        <v>15</v>
      </c>
      <c r="M1" t="s">
        <v>1027</v>
      </c>
      <c r="N1" t="s">
        <v>1028</v>
      </c>
    </row>
    <row r="2" spans="1:14" x14ac:dyDescent="0.25">
      <c r="C2" s="2">
        <v>1</v>
      </c>
      <c r="D2" s="10">
        <v>45254</v>
      </c>
      <c r="E2" s="2" t="s">
        <v>16</v>
      </c>
      <c r="F2" s="2" t="s">
        <v>17</v>
      </c>
      <c r="G2" s="2">
        <v>34</v>
      </c>
      <c r="H2" s="2" t="s">
        <v>18</v>
      </c>
      <c r="I2" s="2">
        <v>3</v>
      </c>
      <c r="J2" s="2">
        <v>50</v>
      </c>
      <c r="K2" s="2">
        <v>150</v>
      </c>
      <c r="M2" s="2" cm="1">
        <f t="array" ref="M2:M1001">Table5[Price per Unit]*Table5[Quantity]</f>
        <v>150</v>
      </c>
      <c r="N2" t="str" cm="1">
        <f t="array" ref="N2">IF(M2=Table5[[#This Row],[Total Amount]],"Correct",Check)</f>
        <v>Correct</v>
      </c>
    </row>
    <row r="3" spans="1:14" x14ac:dyDescent="0.25">
      <c r="C3" s="2">
        <v>2</v>
      </c>
      <c r="D3" s="10">
        <v>44984</v>
      </c>
      <c r="E3" s="2" t="s">
        <v>19</v>
      </c>
      <c r="F3" s="2" t="s">
        <v>20</v>
      </c>
      <c r="G3" s="2">
        <v>26</v>
      </c>
      <c r="H3" s="2" t="s">
        <v>21</v>
      </c>
      <c r="I3" s="2">
        <v>2</v>
      </c>
      <c r="J3" s="2">
        <v>500</v>
      </c>
      <c r="K3" s="2">
        <v>1000</v>
      </c>
      <c r="M3" s="2">
        <v>1000</v>
      </c>
      <c r="N3" t="str" cm="1">
        <f t="array" ref="N3">IF(M3=Table5[[#This Row],[Total Amount]],"Correct",Check)</f>
        <v>Correct</v>
      </c>
    </row>
    <row r="4" spans="1:14" x14ac:dyDescent="0.25">
      <c r="C4" s="2">
        <v>3</v>
      </c>
      <c r="D4" s="10">
        <v>44939</v>
      </c>
      <c r="E4" s="2" t="s">
        <v>22</v>
      </c>
      <c r="F4" s="2" t="s">
        <v>17</v>
      </c>
      <c r="G4" s="2">
        <v>50</v>
      </c>
      <c r="H4" s="2" t="s">
        <v>23</v>
      </c>
      <c r="I4" s="2">
        <v>1</v>
      </c>
      <c r="J4" s="2">
        <v>30</v>
      </c>
      <c r="K4" s="2">
        <v>30</v>
      </c>
      <c r="M4" s="2">
        <v>30</v>
      </c>
      <c r="N4" t="str" cm="1">
        <f t="array" ref="N4">IF(M4=Table5[[#This Row],[Total Amount]],"Correct",Check)</f>
        <v>Correct</v>
      </c>
    </row>
    <row r="5" spans="1:14" x14ac:dyDescent="0.25">
      <c r="C5" s="2">
        <v>4</v>
      </c>
      <c r="D5" s="10">
        <v>45067</v>
      </c>
      <c r="E5" s="2" t="s">
        <v>24</v>
      </c>
      <c r="F5" s="2" t="s">
        <v>17</v>
      </c>
      <c r="G5" s="2">
        <v>37</v>
      </c>
      <c r="H5" s="2" t="s">
        <v>21</v>
      </c>
      <c r="I5" s="2">
        <v>1</v>
      </c>
      <c r="J5" s="2">
        <v>500</v>
      </c>
      <c r="K5" s="2">
        <v>500</v>
      </c>
      <c r="M5" s="2">
        <v>500</v>
      </c>
      <c r="N5" t="str" cm="1">
        <f t="array" ref="N5">IF(M5=Table5[[#This Row],[Total Amount]],"Correct",Check)</f>
        <v>Correct</v>
      </c>
    </row>
    <row r="6" spans="1:14" x14ac:dyDescent="0.25">
      <c r="C6" s="2">
        <v>5</v>
      </c>
      <c r="D6" s="10">
        <v>45052</v>
      </c>
      <c r="E6" s="2" t="s">
        <v>25</v>
      </c>
      <c r="F6" s="2" t="s">
        <v>17</v>
      </c>
      <c r="G6" s="2">
        <v>30</v>
      </c>
      <c r="H6" s="2" t="s">
        <v>18</v>
      </c>
      <c r="I6" s="2">
        <v>2</v>
      </c>
      <c r="J6" s="2">
        <v>50</v>
      </c>
      <c r="K6" s="2">
        <v>100</v>
      </c>
      <c r="M6" s="2">
        <v>100</v>
      </c>
      <c r="N6" t="str" cm="1">
        <f t="array" ref="N6">IF(M6=Table5[[#This Row],[Total Amount]],"Correct",Check)</f>
        <v>Correct</v>
      </c>
    </row>
    <row r="7" spans="1:14" x14ac:dyDescent="0.25">
      <c r="C7" s="2">
        <v>6</v>
      </c>
      <c r="D7" s="10">
        <v>45041</v>
      </c>
      <c r="E7" s="2" t="s">
        <v>26</v>
      </c>
      <c r="F7" s="2" t="s">
        <v>20</v>
      </c>
      <c r="G7" s="2">
        <v>45</v>
      </c>
      <c r="H7" s="2" t="s">
        <v>18</v>
      </c>
      <c r="I7" s="2">
        <v>1</v>
      </c>
      <c r="J7" s="2">
        <v>30</v>
      </c>
      <c r="K7" s="2">
        <v>30</v>
      </c>
      <c r="M7" s="2">
        <v>30</v>
      </c>
      <c r="N7" t="str" cm="1">
        <f t="array" ref="N7">IF(M7=Table5[[#This Row],[Total Amount]],"Correct",Check)</f>
        <v>Correct</v>
      </c>
    </row>
    <row r="8" spans="1:14" x14ac:dyDescent="0.25">
      <c r="C8" s="2">
        <v>7</v>
      </c>
      <c r="D8" s="10">
        <v>44998</v>
      </c>
      <c r="E8" s="2" t="s">
        <v>27</v>
      </c>
      <c r="F8" s="2" t="s">
        <v>17</v>
      </c>
      <c r="G8" s="2">
        <v>46</v>
      </c>
      <c r="H8" s="2" t="s">
        <v>21</v>
      </c>
      <c r="I8" s="2">
        <v>2</v>
      </c>
      <c r="J8" s="2">
        <v>25</v>
      </c>
      <c r="K8" s="2">
        <v>50</v>
      </c>
      <c r="M8" s="2">
        <v>50</v>
      </c>
      <c r="N8" t="str" cm="1">
        <f t="array" ref="N8">IF(M8=Table5[[#This Row],[Total Amount]],"Correct",Check)</f>
        <v>Correct</v>
      </c>
    </row>
    <row r="9" spans="1:14" x14ac:dyDescent="0.25">
      <c r="C9" s="2">
        <v>8</v>
      </c>
      <c r="D9" s="10">
        <v>44979</v>
      </c>
      <c r="E9" s="2" t="s">
        <v>28</v>
      </c>
      <c r="F9" s="2" t="s">
        <v>17</v>
      </c>
      <c r="G9" s="2">
        <v>30</v>
      </c>
      <c r="H9" s="2" t="s">
        <v>23</v>
      </c>
      <c r="I9" s="2">
        <v>4</v>
      </c>
      <c r="J9" s="2">
        <v>25</v>
      </c>
      <c r="K9" s="2">
        <v>100</v>
      </c>
      <c r="M9" s="2">
        <v>100</v>
      </c>
      <c r="N9" t="str" cm="1">
        <f t="array" ref="N9">IF(M9=Table5[[#This Row],[Total Amount]],"Correct",Check)</f>
        <v>Correct</v>
      </c>
    </row>
    <row r="10" spans="1:14" x14ac:dyDescent="0.25">
      <c r="C10" s="2">
        <v>9</v>
      </c>
      <c r="D10" s="10">
        <v>45273</v>
      </c>
      <c r="E10" s="2" t="s">
        <v>29</v>
      </c>
      <c r="F10" s="2" t="s">
        <v>17</v>
      </c>
      <c r="G10" s="2">
        <v>63</v>
      </c>
      <c r="H10" s="2" t="s">
        <v>23</v>
      </c>
      <c r="I10" s="2">
        <v>2</v>
      </c>
      <c r="J10" s="2">
        <v>300</v>
      </c>
      <c r="K10" s="2">
        <v>600</v>
      </c>
      <c r="M10" s="2">
        <v>600</v>
      </c>
      <c r="N10" t="str" cm="1">
        <f t="array" ref="N10">IF(M10=Table5[[#This Row],[Total Amount]],"Correct",Check)</f>
        <v>Correct</v>
      </c>
    </row>
    <row r="11" spans="1:14" x14ac:dyDescent="0.25">
      <c r="C11" s="2">
        <v>10</v>
      </c>
      <c r="D11" s="10">
        <v>45206</v>
      </c>
      <c r="E11" s="2" t="s">
        <v>30</v>
      </c>
      <c r="F11" s="2" t="s">
        <v>20</v>
      </c>
      <c r="G11" s="2">
        <v>52</v>
      </c>
      <c r="H11" s="2" t="s">
        <v>21</v>
      </c>
      <c r="I11" s="2">
        <v>4</v>
      </c>
      <c r="J11" s="2">
        <v>50</v>
      </c>
      <c r="K11" s="2">
        <v>200</v>
      </c>
      <c r="M11" s="2">
        <v>200</v>
      </c>
      <c r="N11" t="str" cm="1">
        <f t="array" ref="N11">IF(M11=Table5[[#This Row],[Total Amount]],"Correct",Check)</f>
        <v>Correct</v>
      </c>
    </row>
    <row r="12" spans="1:14" x14ac:dyDescent="0.25">
      <c r="C12" s="2">
        <v>11</v>
      </c>
      <c r="D12" s="10">
        <v>44971</v>
      </c>
      <c r="E12" s="2" t="s">
        <v>31</v>
      </c>
      <c r="F12" s="2" t="s">
        <v>17</v>
      </c>
      <c r="G12" s="2">
        <v>23</v>
      </c>
      <c r="H12" s="2" t="s">
        <v>21</v>
      </c>
      <c r="I12" s="2">
        <v>2</v>
      </c>
      <c r="J12" s="2">
        <v>50</v>
      </c>
      <c r="K12" s="2">
        <v>100</v>
      </c>
      <c r="M12" s="2">
        <v>100</v>
      </c>
      <c r="N12" t="str" cm="1">
        <f t="array" ref="N12">IF(M12=Table5[[#This Row],[Total Amount]],"Correct",Check)</f>
        <v>Correct</v>
      </c>
    </row>
    <row r="13" spans="1:14" x14ac:dyDescent="0.25">
      <c r="C13" s="2">
        <v>12</v>
      </c>
      <c r="D13" s="10">
        <v>45229</v>
      </c>
      <c r="E13" s="2" t="s">
        <v>32</v>
      </c>
      <c r="F13" s="2" t="s">
        <v>17</v>
      </c>
      <c r="G13" s="2">
        <v>35</v>
      </c>
      <c r="H13" s="2" t="s">
        <v>18</v>
      </c>
      <c r="I13" s="2">
        <v>3</v>
      </c>
      <c r="J13" s="2">
        <v>25</v>
      </c>
      <c r="K13" s="2">
        <v>75</v>
      </c>
      <c r="M13" s="2">
        <v>75</v>
      </c>
      <c r="N13" t="str" cm="1">
        <f t="array" ref="N13">IF(M13=Table5[[#This Row],[Total Amount]],"Correct",Check)</f>
        <v>Correct</v>
      </c>
    </row>
    <row r="14" spans="1:14" x14ac:dyDescent="0.25">
      <c r="C14" s="2">
        <v>13</v>
      </c>
      <c r="D14" s="10">
        <v>45143</v>
      </c>
      <c r="E14" s="2" t="s">
        <v>33</v>
      </c>
      <c r="F14" s="2" t="s">
        <v>17</v>
      </c>
      <c r="G14" s="2">
        <v>22</v>
      </c>
      <c r="H14" s="2" t="s">
        <v>23</v>
      </c>
      <c r="I14" s="2">
        <v>3</v>
      </c>
      <c r="J14" s="2">
        <v>500</v>
      </c>
      <c r="K14" s="2">
        <v>1500</v>
      </c>
      <c r="M14" s="2">
        <v>1500</v>
      </c>
      <c r="N14" t="str" cm="1">
        <f t="array" ref="N14">IF(M14=Table5[[#This Row],[Total Amount]],"Correct",Check)</f>
        <v>Correct</v>
      </c>
    </row>
    <row r="15" spans="1:14" x14ac:dyDescent="0.25">
      <c r="C15" s="2">
        <v>14</v>
      </c>
      <c r="D15" s="10">
        <v>44943</v>
      </c>
      <c r="E15" s="2" t="s">
        <v>34</v>
      </c>
      <c r="F15" s="2" t="s">
        <v>17</v>
      </c>
      <c r="G15" s="2">
        <v>64</v>
      </c>
      <c r="H15" s="2" t="s">
        <v>21</v>
      </c>
      <c r="I15" s="2">
        <v>4</v>
      </c>
      <c r="J15" s="2">
        <v>30</v>
      </c>
      <c r="K15" s="2">
        <v>120</v>
      </c>
      <c r="M15" s="2">
        <v>120</v>
      </c>
      <c r="N15" t="str" cm="1">
        <f t="array" ref="N15">IF(M15=Table5[[#This Row],[Total Amount]],"Correct",Check)</f>
        <v>Correct</v>
      </c>
    </row>
    <row r="16" spans="1:14" x14ac:dyDescent="0.25">
      <c r="C16" s="2">
        <v>15</v>
      </c>
      <c r="D16" s="10">
        <v>44942</v>
      </c>
      <c r="E16" s="2" t="s">
        <v>35</v>
      </c>
      <c r="F16" s="2" t="s">
        <v>20</v>
      </c>
      <c r="G16" s="2">
        <v>42</v>
      </c>
      <c r="H16" s="2" t="s">
        <v>23</v>
      </c>
      <c r="I16" s="2">
        <v>4</v>
      </c>
      <c r="J16" s="2">
        <v>500</v>
      </c>
      <c r="K16" s="2">
        <v>2000</v>
      </c>
      <c r="M16" s="2">
        <v>2000</v>
      </c>
      <c r="N16" t="str" cm="1">
        <f t="array" ref="N16">IF(M16=Table5[[#This Row],[Total Amount]],"Correct",Check)</f>
        <v>Correct</v>
      </c>
    </row>
    <row r="17" spans="3:14" x14ac:dyDescent="0.25">
      <c r="C17" s="2">
        <v>16</v>
      </c>
      <c r="D17" s="10">
        <v>44974</v>
      </c>
      <c r="E17" s="2" t="s">
        <v>36</v>
      </c>
      <c r="F17" s="2" t="s">
        <v>17</v>
      </c>
      <c r="G17" s="2">
        <v>19</v>
      </c>
      <c r="H17" s="2" t="s">
        <v>21</v>
      </c>
      <c r="I17" s="2">
        <v>3</v>
      </c>
      <c r="J17" s="2">
        <v>500</v>
      </c>
      <c r="K17" s="2">
        <v>1500</v>
      </c>
      <c r="M17" s="2">
        <v>1500</v>
      </c>
      <c r="N17" t="str" cm="1">
        <f t="array" ref="N17">IF(M17=Table5[[#This Row],[Total Amount]],"Correct",Check)</f>
        <v>Correct</v>
      </c>
    </row>
    <row r="18" spans="3:14" x14ac:dyDescent="0.25">
      <c r="C18" s="2">
        <v>17</v>
      </c>
      <c r="D18" s="10">
        <v>45038</v>
      </c>
      <c r="E18" s="2" t="s">
        <v>37</v>
      </c>
      <c r="F18" s="2" t="s">
        <v>20</v>
      </c>
      <c r="G18" s="2">
        <v>27</v>
      </c>
      <c r="H18" s="2" t="s">
        <v>21</v>
      </c>
      <c r="I18" s="2">
        <v>4</v>
      </c>
      <c r="J18" s="2">
        <v>25</v>
      </c>
      <c r="K18" s="2">
        <v>100</v>
      </c>
      <c r="M18" s="2">
        <v>100</v>
      </c>
      <c r="N18" t="str" cm="1">
        <f t="array" ref="N18">IF(M18=Table5[[#This Row],[Total Amount]],"Correct",Check)</f>
        <v>Correct</v>
      </c>
    </row>
    <row r="19" spans="3:14" x14ac:dyDescent="0.25">
      <c r="C19" s="2">
        <v>18</v>
      </c>
      <c r="D19" s="10">
        <v>45046</v>
      </c>
      <c r="E19" s="2" t="s">
        <v>38</v>
      </c>
      <c r="F19" s="2" t="s">
        <v>20</v>
      </c>
      <c r="G19" s="2">
        <v>47</v>
      </c>
      <c r="H19" s="2" t="s">
        <v>23</v>
      </c>
      <c r="I19" s="2">
        <v>2</v>
      </c>
      <c r="J19" s="2">
        <v>25</v>
      </c>
      <c r="K19" s="2">
        <v>50</v>
      </c>
      <c r="M19" s="2">
        <v>50</v>
      </c>
      <c r="N19" t="str" cm="1">
        <f t="array" ref="N19">IF(M19=Table5[[#This Row],[Total Amount]],"Correct",Check)</f>
        <v>Correct</v>
      </c>
    </row>
    <row r="20" spans="3:14" x14ac:dyDescent="0.25">
      <c r="C20" s="2">
        <v>19</v>
      </c>
      <c r="D20" s="10">
        <v>45185</v>
      </c>
      <c r="E20" s="2" t="s">
        <v>39</v>
      </c>
      <c r="F20" s="2" t="s">
        <v>20</v>
      </c>
      <c r="G20" s="2">
        <v>62</v>
      </c>
      <c r="H20" s="2" t="s">
        <v>21</v>
      </c>
      <c r="I20" s="2">
        <v>2</v>
      </c>
      <c r="J20" s="2">
        <v>25</v>
      </c>
      <c r="K20" s="2">
        <v>50</v>
      </c>
      <c r="M20" s="2">
        <v>50</v>
      </c>
      <c r="N20" t="str" cm="1">
        <f t="array" ref="N20">IF(M20=Table5[[#This Row],[Total Amount]],"Correct",Check)</f>
        <v>Correct</v>
      </c>
    </row>
    <row r="21" spans="3:14" x14ac:dyDescent="0.25">
      <c r="C21" s="2">
        <v>20</v>
      </c>
      <c r="D21" s="10">
        <v>45235</v>
      </c>
      <c r="E21" s="2" t="s">
        <v>40</v>
      </c>
      <c r="F21" s="2" t="s">
        <v>17</v>
      </c>
      <c r="G21" s="2">
        <v>22</v>
      </c>
      <c r="H21" s="2" t="s">
        <v>21</v>
      </c>
      <c r="I21" s="2">
        <v>3</v>
      </c>
      <c r="J21" s="2">
        <v>300</v>
      </c>
      <c r="K21" s="2">
        <v>900</v>
      </c>
      <c r="M21" s="2">
        <v>900</v>
      </c>
      <c r="N21" t="str" cm="1">
        <f t="array" ref="N21">IF(M21=Table5[[#This Row],[Total Amount]],"Correct",Check)</f>
        <v>Correct</v>
      </c>
    </row>
    <row r="22" spans="3:14" x14ac:dyDescent="0.25">
      <c r="C22" s="2">
        <v>21</v>
      </c>
      <c r="D22" s="10">
        <v>44940</v>
      </c>
      <c r="E22" s="2" t="s">
        <v>41</v>
      </c>
      <c r="F22" s="2" t="s">
        <v>20</v>
      </c>
      <c r="G22" s="2">
        <v>50</v>
      </c>
      <c r="H22" s="2" t="s">
        <v>18</v>
      </c>
      <c r="I22" s="2">
        <v>1</v>
      </c>
      <c r="J22" s="2">
        <v>500</v>
      </c>
      <c r="K22" s="2">
        <v>500</v>
      </c>
      <c r="M22" s="2">
        <v>500</v>
      </c>
      <c r="N22" t="str" cm="1">
        <f t="array" ref="N22">IF(M22=Table5[[#This Row],[Total Amount]],"Correct",Check)</f>
        <v>Correct</v>
      </c>
    </row>
    <row r="23" spans="3:14" x14ac:dyDescent="0.25">
      <c r="C23" s="2">
        <v>22</v>
      </c>
      <c r="D23" s="10">
        <v>45214</v>
      </c>
      <c r="E23" s="2" t="s">
        <v>42</v>
      </c>
      <c r="F23" s="2" t="s">
        <v>17</v>
      </c>
      <c r="G23" s="2">
        <v>18</v>
      </c>
      <c r="H23" s="2" t="s">
        <v>21</v>
      </c>
      <c r="I23" s="2">
        <v>2</v>
      </c>
      <c r="J23" s="2">
        <v>50</v>
      </c>
      <c r="K23" s="2">
        <v>100</v>
      </c>
      <c r="M23" s="2">
        <v>100</v>
      </c>
      <c r="N23" t="str" cm="1">
        <f t="array" ref="N23">IF(M23=Table5[[#This Row],[Total Amount]],"Correct",Check)</f>
        <v>Correct</v>
      </c>
    </row>
    <row r="24" spans="3:14" x14ac:dyDescent="0.25">
      <c r="C24" s="2">
        <v>23</v>
      </c>
      <c r="D24" s="10">
        <v>45028</v>
      </c>
      <c r="E24" s="2" t="s">
        <v>43</v>
      </c>
      <c r="F24" s="2" t="s">
        <v>20</v>
      </c>
      <c r="G24" s="2">
        <v>35</v>
      </c>
      <c r="H24" s="2" t="s">
        <v>21</v>
      </c>
      <c r="I24" s="2">
        <v>4</v>
      </c>
      <c r="J24" s="2">
        <v>30</v>
      </c>
      <c r="K24" s="2">
        <v>120</v>
      </c>
      <c r="M24" s="2">
        <v>120</v>
      </c>
      <c r="N24" t="str" cm="1">
        <f t="array" ref="N24">IF(M24=Table5[[#This Row],[Total Amount]],"Correct",Check)</f>
        <v>Correct</v>
      </c>
    </row>
    <row r="25" spans="3:14" x14ac:dyDescent="0.25">
      <c r="C25" s="2">
        <v>24</v>
      </c>
      <c r="D25" s="10">
        <v>45259</v>
      </c>
      <c r="E25" s="2" t="s">
        <v>44</v>
      </c>
      <c r="F25" s="2" t="s">
        <v>20</v>
      </c>
      <c r="G25" s="2">
        <v>49</v>
      </c>
      <c r="H25" s="2" t="s">
        <v>21</v>
      </c>
      <c r="I25" s="2">
        <v>1</v>
      </c>
      <c r="J25" s="2">
        <v>300</v>
      </c>
      <c r="K25" s="2">
        <v>300</v>
      </c>
      <c r="M25" s="2">
        <v>300</v>
      </c>
      <c r="N25" t="str" cm="1">
        <f t="array" ref="N25">IF(M25=Table5[[#This Row],[Total Amount]],"Correct",Check)</f>
        <v>Correct</v>
      </c>
    </row>
    <row r="26" spans="3:14" x14ac:dyDescent="0.25">
      <c r="C26" s="2">
        <v>25</v>
      </c>
      <c r="D26" s="10">
        <v>45286</v>
      </c>
      <c r="E26" s="2" t="s">
        <v>45</v>
      </c>
      <c r="F26" s="2" t="s">
        <v>20</v>
      </c>
      <c r="G26" s="2">
        <v>64</v>
      </c>
      <c r="H26" s="2" t="s">
        <v>18</v>
      </c>
      <c r="I26" s="2">
        <v>1</v>
      </c>
      <c r="J26" s="2">
        <v>50</v>
      </c>
      <c r="K26" s="2">
        <v>50</v>
      </c>
      <c r="M26" s="2">
        <v>50</v>
      </c>
      <c r="N26" t="str" cm="1">
        <f t="array" ref="N26">IF(M26=Table5[[#This Row],[Total Amount]],"Correct",Check)</f>
        <v>Correct</v>
      </c>
    </row>
    <row r="27" spans="3:14" x14ac:dyDescent="0.25">
      <c r="C27" s="2">
        <v>26</v>
      </c>
      <c r="D27" s="10">
        <v>45206</v>
      </c>
      <c r="E27" s="2" t="s">
        <v>46</v>
      </c>
      <c r="F27" s="2" t="s">
        <v>20</v>
      </c>
      <c r="G27" s="2">
        <v>28</v>
      </c>
      <c r="H27" s="2" t="s">
        <v>23</v>
      </c>
      <c r="I27" s="2">
        <v>2</v>
      </c>
      <c r="J27" s="2">
        <v>500</v>
      </c>
      <c r="K27" s="2">
        <v>1000</v>
      </c>
      <c r="M27" s="2">
        <v>1000</v>
      </c>
      <c r="N27" t="str" cm="1">
        <f t="array" ref="N27">IF(M27=Table5[[#This Row],[Total Amount]],"Correct",Check)</f>
        <v>Correct</v>
      </c>
    </row>
    <row r="28" spans="3:14" x14ac:dyDescent="0.25">
      <c r="C28" s="2">
        <v>27</v>
      </c>
      <c r="D28" s="10">
        <v>45141</v>
      </c>
      <c r="E28" s="2" t="s">
        <v>47</v>
      </c>
      <c r="F28" s="2" t="s">
        <v>20</v>
      </c>
      <c r="G28" s="2">
        <v>38</v>
      </c>
      <c r="H28" s="2" t="s">
        <v>18</v>
      </c>
      <c r="I28" s="2">
        <v>2</v>
      </c>
      <c r="J28" s="2">
        <v>25</v>
      </c>
      <c r="K28" s="2">
        <v>50</v>
      </c>
      <c r="M28" s="2">
        <v>50</v>
      </c>
      <c r="N28" t="str" cm="1">
        <f t="array" ref="N28">IF(M28=Table5[[#This Row],[Total Amount]],"Correct",Check)</f>
        <v>Correct</v>
      </c>
    </row>
    <row r="29" spans="3:14" x14ac:dyDescent="0.25">
      <c r="C29" s="2">
        <v>28</v>
      </c>
      <c r="D29" s="10">
        <v>45039</v>
      </c>
      <c r="E29" s="2" t="s">
        <v>48</v>
      </c>
      <c r="F29" s="2" t="s">
        <v>20</v>
      </c>
      <c r="G29" s="2">
        <v>43</v>
      </c>
      <c r="H29" s="2" t="s">
        <v>18</v>
      </c>
      <c r="I29" s="2">
        <v>1</v>
      </c>
      <c r="J29" s="2">
        <v>500</v>
      </c>
      <c r="K29" s="2">
        <v>500</v>
      </c>
      <c r="M29" s="2">
        <v>500</v>
      </c>
      <c r="N29" t="str" cm="1">
        <f t="array" ref="N29">IF(M29=Table5[[#This Row],[Total Amount]],"Correct",Check)</f>
        <v>Correct</v>
      </c>
    </row>
    <row r="30" spans="3:14" x14ac:dyDescent="0.25">
      <c r="C30" s="2">
        <v>29</v>
      </c>
      <c r="D30" s="10">
        <v>45156</v>
      </c>
      <c r="E30" s="2" t="s">
        <v>49</v>
      </c>
      <c r="F30" s="2" t="s">
        <v>20</v>
      </c>
      <c r="G30" s="2">
        <v>42</v>
      </c>
      <c r="H30" s="2" t="s">
        <v>23</v>
      </c>
      <c r="I30" s="2">
        <v>1</v>
      </c>
      <c r="J30" s="2">
        <v>30</v>
      </c>
      <c r="K30" s="2">
        <v>30</v>
      </c>
      <c r="M30" s="2">
        <v>30</v>
      </c>
      <c r="N30" t="str" cm="1">
        <f t="array" ref="N30">IF(M30=Table5[[#This Row],[Total Amount]],"Correct",Check)</f>
        <v>Correct</v>
      </c>
    </row>
    <row r="31" spans="3:14" x14ac:dyDescent="0.25">
      <c r="C31" s="2">
        <v>30</v>
      </c>
      <c r="D31" s="10">
        <v>45228</v>
      </c>
      <c r="E31" s="2" t="s">
        <v>50</v>
      </c>
      <c r="F31" s="2" t="s">
        <v>20</v>
      </c>
      <c r="G31" s="2">
        <v>39</v>
      </c>
      <c r="H31" s="2" t="s">
        <v>18</v>
      </c>
      <c r="I31" s="2">
        <v>3</v>
      </c>
      <c r="J31" s="2">
        <v>300</v>
      </c>
      <c r="K31" s="2">
        <v>900</v>
      </c>
      <c r="M31" s="2">
        <v>900</v>
      </c>
      <c r="N31" t="str" cm="1">
        <f t="array" ref="N31">IF(M31=Table5[[#This Row],[Total Amount]],"Correct",Check)</f>
        <v>Correct</v>
      </c>
    </row>
    <row r="32" spans="3:14" x14ac:dyDescent="0.25">
      <c r="C32" s="2">
        <v>31</v>
      </c>
      <c r="D32" s="10">
        <v>45069</v>
      </c>
      <c r="E32" s="2" t="s">
        <v>51</v>
      </c>
      <c r="F32" s="2" t="s">
        <v>17</v>
      </c>
      <c r="G32" s="2">
        <v>44</v>
      </c>
      <c r="H32" s="2" t="s">
        <v>23</v>
      </c>
      <c r="I32" s="2">
        <v>4</v>
      </c>
      <c r="J32" s="2">
        <v>300</v>
      </c>
      <c r="K32" s="2">
        <v>1200</v>
      </c>
      <c r="M32" s="2">
        <v>1200</v>
      </c>
      <c r="N32" t="str" cm="1">
        <f t="array" ref="N32">IF(M32=Table5[[#This Row],[Total Amount]],"Correct",Check)</f>
        <v>Correct</v>
      </c>
    </row>
    <row r="33" spans="3:14" x14ac:dyDescent="0.25">
      <c r="C33" s="2">
        <v>32</v>
      </c>
      <c r="D33" s="10">
        <v>44930</v>
      </c>
      <c r="E33" s="2" t="s">
        <v>52</v>
      </c>
      <c r="F33" s="2" t="s">
        <v>17</v>
      </c>
      <c r="G33" s="2">
        <v>30</v>
      </c>
      <c r="H33" s="2" t="s">
        <v>18</v>
      </c>
      <c r="I33" s="2">
        <v>3</v>
      </c>
      <c r="J33" s="2">
        <v>30</v>
      </c>
      <c r="K33" s="2">
        <v>90</v>
      </c>
      <c r="M33" s="2">
        <v>90</v>
      </c>
      <c r="N33" t="str" cm="1">
        <f t="array" ref="N33">IF(M33=Table5[[#This Row],[Total Amount]],"Correct",Check)</f>
        <v>Correct</v>
      </c>
    </row>
    <row r="34" spans="3:14" x14ac:dyDescent="0.25">
      <c r="C34" s="2">
        <v>33</v>
      </c>
      <c r="D34" s="10">
        <v>45008</v>
      </c>
      <c r="E34" s="2" t="s">
        <v>53</v>
      </c>
      <c r="F34" s="2" t="s">
        <v>20</v>
      </c>
      <c r="G34" s="2">
        <v>50</v>
      </c>
      <c r="H34" s="2" t="s">
        <v>23</v>
      </c>
      <c r="I34" s="2">
        <v>2</v>
      </c>
      <c r="J34" s="2">
        <v>50</v>
      </c>
      <c r="K34" s="2">
        <v>100</v>
      </c>
      <c r="M34" s="2">
        <v>100</v>
      </c>
      <c r="N34" t="str" cm="1">
        <f t="array" ref="N34">IF(M34=Table5[[#This Row],[Total Amount]],"Correct",Check)</f>
        <v>Correct</v>
      </c>
    </row>
    <row r="35" spans="3:14" x14ac:dyDescent="0.25">
      <c r="C35" s="2">
        <v>34</v>
      </c>
      <c r="D35" s="10">
        <v>45284</v>
      </c>
      <c r="E35" s="2" t="s">
        <v>54</v>
      </c>
      <c r="F35" s="2" t="s">
        <v>20</v>
      </c>
      <c r="G35" s="2">
        <v>51</v>
      </c>
      <c r="H35" s="2" t="s">
        <v>21</v>
      </c>
      <c r="I35" s="2">
        <v>3</v>
      </c>
      <c r="J35" s="2">
        <v>50</v>
      </c>
      <c r="K35" s="2">
        <v>150</v>
      </c>
      <c r="M35" s="2">
        <v>150</v>
      </c>
      <c r="N35" t="str" cm="1">
        <f t="array" ref="N35">IF(M35=Table5[[#This Row],[Total Amount]],"Correct",Check)</f>
        <v>Correct</v>
      </c>
    </row>
    <row r="36" spans="3:14" x14ac:dyDescent="0.25">
      <c r="C36" s="2">
        <v>35</v>
      </c>
      <c r="D36" s="10">
        <v>45143</v>
      </c>
      <c r="E36" s="2" t="s">
        <v>55</v>
      </c>
      <c r="F36" s="2" t="s">
        <v>20</v>
      </c>
      <c r="G36" s="2">
        <v>58</v>
      </c>
      <c r="H36" s="2" t="s">
        <v>18</v>
      </c>
      <c r="I36" s="2">
        <v>3</v>
      </c>
      <c r="J36" s="2">
        <v>300</v>
      </c>
      <c r="K36" s="2">
        <v>900</v>
      </c>
      <c r="M36" s="2">
        <v>900</v>
      </c>
      <c r="N36" t="str" cm="1">
        <f t="array" ref="N36">IF(M36=Table5[[#This Row],[Total Amount]],"Correct",Check)</f>
        <v>Correct</v>
      </c>
    </row>
    <row r="37" spans="3:14" x14ac:dyDescent="0.25">
      <c r="C37" s="2">
        <v>36</v>
      </c>
      <c r="D37" s="10">
        <v>45101</v>
      </c>
      <c r="E37" s="2" t="s">
        <v>56</v>
      </c>
      <c r="F37" s="2" t="s">
        <v>17</v>
      </c>
      <c r="G37" s="2">
        <v>52</v>
      </c>
      <c r="H37" s="2" t="s">
        <v>18</v>
      </c>
      <c r="I37" s="2">
        <v>3</v>
      </c>
      <c r="J37" s="2">
        <v>300</v>
      </c>
      <c r="K37" s="2">
        <v>900</v>
      </c>
      <c r="M37" s="2">
        <v>900</v>
      </c>
      <c r="N37" t="str" cm="1">
        <f t="array" ref="N37">IF(M37=Table5[[#This Row],[Total Amount]],"Correct",Check)</f>
        <v>Correct</v>
      </c>
    </row>
    <row r="38" spans="3:14" x14ac:dyDescent="0.25">
      <c r="C38" s="2">
        <v>37</v>
      </c>
      <c r="D38" s="10">
        <v>45069</v>
      </c>
      <c r="E38" s="2" t="s">
        <v>57</v>
      </c>
      <c r="F38" s="2" t="s">
        <v>20</v>
      </c>
      <c r="G38" s="2">
        <v>18</v>
      </c>
      <c r="H38" s="2" t="s">
        <v>18</v>
      </c>
      <c r="I38" s="2">
        <v>3</v>
      </c>
      <c r="J38" s="2">
        <v>25</v>
      </c>
      <c r="K38" s="2">
        <v>75</v>
      </c>
      <c r="M38" s="2">
        <v>75</v>
      </c>
      <c r="N38" t="str" cm="1">
        <f t="array" ref="N38">IF(M38=Table5[[#This Row],[Total Amount]],"Correct",Check)</f>
        <v>Correct</v>
      </c>
    </row>
    <row r="39" spans="3:14" x14ac:dyDescent="0.25">
      <c r="C39" s="2">
        <v>38</v>
      </c>
      <c r="D39" s="10">
        <v>45006</v>
      </c>
      <c r="E39" s="2" t="s">
        <v>58</v>
      </c>
      <c r="F39" s="2" t="s">
        <v>17</v>
      </c>
      <c r="G39" s="2">
        <v>38</v>
      </c>
      <c r="H39" s="2" t="s">
        <v>18</v>
      </c>
      <c r="I39" s="2">
        <v>4</v>
      </c>
      <c r="J39" s="2">
        <v>50</v>
      </c>
      <c r="K39" s="2">
        <v>200</v>
      </c>
      <c r="M39" s="2">
        <v>200</v>
      </c>
      <c r="N39" t="str" cm="1">
        <f t="array" ref="N39">IF(M39=Table5[[#This Row],[Total Amount]],"Correct",Check)</f>
        <v>Correct</v>
      </c>
    </row>
    <row r="40" spans="3:14" x14ac:dyDescent="0.25">
      <c r="C40" s="2">
        <v>39</v>
      </c>
      <c r="D40" s="10">
        <v>45037</v>
      </c>
      <c r="E40" s="2" t="s">
        <v>59</v>
      </c>
      <c r="F40" s="2" t="s">
        <v>17</v>
      </c>
      <c r="G40" s="2">
        <v>23</v>
      </c>
      <c r="H40" s="2" t="s">
        <v>21</v>
      </c>
      <c r="I40" s="2">
        <v>4</v>
      </c>
      <c r="J40" s="2">
        <v>30</v>
      </c>
      <c r="K40" s="2">
        <v>120</v>
      </c>
      <c r="M40" s="2">
        <v>120</v>
      </c>
      <c r="N40" t="str" cm="1">
        <f t="array" ref="N40">IF(M40=Table5[[#This Row],[Total Amount]],"Correct",Check)</f>
        <v>Correct</v>
      </c>
    </row>
    <row r="41" spans="3:14" x14ac:dyDescent="0.25">
      <c r="C41" s="2">
        <v>40</v>
      </c>
      <c r="D41" s="10">
        <v>45099</v>
      </c>
      <c r="E41" s="2" t="s">
        <v>60</v>
      </c>
      <c r="F41" s="2" t="s">
        <v>17</v>
      </c>
      <c r="G41" s="2">
        <v>45</v>
      </c>
      <c r="H41" s="2" t="s">
        <v>18</v>
      </c>
      <c r="I41" s="2">
        <v>1</v>
      </c>
      <c r="J41" s="2">
        <v>50</v>
      </c>
      <c r="K41" s="2">
        <v>50</v>
      </c>
      <c r="M41" s="2">
        <v>50</v>
      </c>
      <c r="N41" t="str" cm="1">
        <f t="array" ref="N41">IF(M41=Table5[[#This Row],[Total Amount]],"Correct",Check)</f>
        <v>Correct</v>
      </c>
    </row>
    <row r="42" spans="3:14" x14ac:dyDescent="0.25">
      <c r="C42" s="2">
        <v>41</v>
      </c>
      <c r="D42" s="10">
        <v>44979</v>
      </c>
      <c r="E42" s="2" t="s">
        <v>61</v>
      </c>
      <c r="F42" s="2" t="s">
        <v>17</v>
      </c>
      <c r="G42" s="2">
        <v>34</v>
      </c>
      <c r="H42" s="2" t="s">
        <v>21</v>
      </c>
      <c r="I42" s="2">
        <v>2</v>
      </c>
      <c r="J42" s="2">
        <v>25</v>
      </c>
      <c r="K42" s="2">
        <v>50</v>
      </c>
      <c r="M42" s="2">
        <v>50</v>
      </c>
      <c r="N42" t="str" cm="1">
        <f t="array" ref="N42">IF(M42=Table5[[#This Row],[Total Amount]],"Correct",Check)</f>
        <v>Correct</v>
      </c>
    </row>
    <row r="43" spans="3:14" x14ac:dyDescent="0.25">
      <c r="C43" s="2">
        <v>42</v>
      </c>
      <c r="D43" s="10">
        <v>44974</v>
      </c>
      <c r="E43" s="2" t="s">
        <v>62</v>
      </c>
      <c r="F43" s="2" t="s">
        <v>17</v>
      </c>
      <c r="G43" s="2">
        <v>22</v>
      </c>
      <c r="H43" s="2" t="s">
        <v>21</v>
      </c>
      <c r="I43" s="2">
        <v>3</v>
      </c>
      <c r="J43" s="2">
        <v>300</v>
      </c>
      <c r="K43" s="2">
        <v>900</v>
      </c>
      <c r="M43" s="2">
        <v>900</v>
      </c>
      <c r="N43" t="str" cm="1">
        <f t="array" ref="N43">IF(M43=Table5[[#This Row],[Total Amount]],"Correct",Check)</f>
        <v>Correct</v>
      </c>
    </row>
    <row r="44" spans="3:14" x14ac:dyDescent="0.25">
      <c r="C44" s="2">
        <v>43</v>
      </c>
      <c r="D44" s="10">
        <v>45121</v>
      </c>
      <c r="E44" s="2" t="s">
        <v>63</v>
      </c>
      <c r="F44" s="2" t="s">
        <v>20</v>
      </c>
      <c r="G44" s="2">
        <v>48</v>
      </c>
      <c r="H44" s="2" t="s">
        <v>21</v>
      </c>
      <c r="I44" s="2">
        <v>1</v>
      </c>
      <c r="J44" s="2">
        <v>300</v>
      </c>
      <c r="K44" s="2">
        <v>300</v>
      </c>
      <c r="M44" s="2">
        <v>300</v>
      </c>
      <c r="N44" t="str" cm="1">
        <f t="array" ref="N44">IF(M44=Table5[[#This Row],[Total Amount]],"Correct",Check)</f>
        <v>Correct</v>
      </c>
    </row>
    <row r="45" spans="3:14" x14ac:dyDescent="0.25">
      <c r="C45" s="2">
        <v>44</v>
      </c>
      <c r="D45" s="10">
        <v>44976</v>
      </c>
      <c r="E45" s="2" t="s">
        <v>64</v>
      </c>
      <c r="F45" s="2" t="s">
        <v>20</v>
      </c>
      <c r="G45" s="2">
        <v>22</v>
      </c>
      <c r="H45" s="2" t="s">
        <v>21</v>
      </c>
      <c r="I45" s="2">
        <v>1</v>
      </c>
      <c r="J45" s="2">
        <v>25</v>
      </c>
      <c r="K45" s="2">
        <v>25</v>
      </c>
      <c r="M45" s="2">
        <v>25</v>
      </c>
      <c r="N45" t="str" cm="1">
        <f t="array" ref="N45">IF(M45=Table5[[#This Row],[Total Amount]],"Correct",Check)</f>
        <v>Correct</v>
      </c>
    </row>
    <row r="46" spans="3:14" x14ac:dyDescent="0.25">
      <c r="C46" s="2">
        <v>45</v>
      </c>
      <c r="D46" s="10">
        <v>45110</v>
      </c>
      <c r="E46" s="2" t="s">
        <v>65</v>
      </c>
      <c r="F46" s="2" t="s">
        <v>20</v>
      </c>
      <c r="G46" s="2">
        <v>55</v>
      </c>
      <c r="H46" s="2" t="s">
        <v>23</v>
      </c>
      <c r="I46" s="2">
        <v>1</v>
      </c>
      <c r="J46" s="2">
        <v>30</v>
      </c>
      <c r="K46" s="2">
        <v>30</v>
      </c>
      <c r="M46" s="2">
        <v>30</v>
      </c>
      <c r="N46" t="str" cm="1">
        <f t="array" ref="N46">IF(M46=Table5[[#This Row],[Total Amount]],"Correct",Check)</f>
        <v>Correct</v>
      </c>
    </row>
    <row r="47" spans="3:14" x14ac:dyDescent="0.25">
      <c r="C47" s="2">
        <v>46</v>
      </c>
      <c r="D47" s="10">
        <v>45103</v>
      </c>
      <c r="E47" s="2" t="s">
        <v>66</v>
      </c>
      <c r="F47" s="2" t="s">
        <v>20</v>
      </c>
      <c r="G47" s="2">
        <v>20</v>
      </c>
      <c r="H47" s="2" t="s">
        <v>23</v>
      </c>
      <c r="I47" s="2">
        <v>4</v>
      </c>
      <c r="J47" s="2">
        <v>300</v>
      </c>
      <c r="K47" s="2">
        <v>1200</v>
      </c>
      <c r="M47" s="2">
        <v>1200</v>
      </c>
      <c r="N47" t="str" cm="1">
        <f t="array" ref="N47">IF(M47=Table5[[#This Row],[Total Amount]],"Correct",Check)</f>
        <v>Correct</v>
      </c>
    </row>
    <row r="48" spans="3:14" x14ac:dyDescent="0.25">
      <c r="C48" s="2">
        <v>47</v>
      </c>
      <c r="D48" s="10">
        <v>45236</v>
      </c>
      <c r="E48" s="2" t="s">
        <v>67</v>
      </c>
      <c r="F48" s="2" t="s">
        <v>20</v>
      </c>
      <c r="G48" s="2">
        <v>40</v>
      </c>
      <c r="H48" s="2" t="s">
        <v>18</v>
      </c>
      <c r="I48" s="2">
        <v>3</v>
      </c>
      <c r="J48" s="2">
        <v>500</v>
      </c>
      <c r="K48" s="2">
        <v>1500</v>
      </c>
      <c r="M48" s="2">
        <v>1500</v>
      </c>
      <c r="N48" t="str" cm="1">
        <f t="array" ref="N48">IF(M48=Table5[[#This Row],[Total Amount]],"Correct",Check)</f>
        <v>Correct</v>
      </c>
    </row>
    <row r="49" spans="3:14" x14ac:dyDescent="0.25">
      <c r="C49" s="2">
        <v>48</v>
      </c>
      <c r="D49" s="10">
        <v>45062</v>
      </c>
      <c r="E49" s="2" t="s">
        <v>68</v>
      </c>
      <c r="F49" s="2" t="s">
        <v>17</v>
      </c>
      <c r="G49" s="2">
        <v>54</v>
      </c>
      <c r="H49" s="2" t="s">
        <v>23</v>
      </c>
      <c r="I49" s="2">
        <v>3</v>
      </c>
      <c r="J49" s="2">
        <v>300</v>
      </c>
      <c r="K49" s="2">
        <v>900</v>
      </c>
      <c r="M49" s="2">
        <v>900</v>
      </c>
      <c r="N49" t="str" cm="1">
        <f t="array" ref="N49">IF(M49=Table5[[#This Row],[Total Amount]],"Correct",Check)</f>
        <v>Correct</v>
      </c>
    </row>
    <row r="50" spans="3:14" x14ac:dyDescent="0.25">
      <c r="C50" s="2">
        <v>49</v>
      </c>
      <c r="D50" s="10">
        <v>44949</v>
      </c>
      <c r="E50" s="2" t="s">
        <v>69</v>
      </c>
      <c r="F50" s="2" t="s">
        <v>20</v>
      </c>
      <c r="G50" s="2">
        <v>54</v>
      </c>
      <c r="H50" s="2" t="s">
        <v>23</v>
      </c>
      <c r="I50" s="2">
        <v>2</v>
      </c>
      <c r="J50" s="2">
        <v>500</v>
      </c>
      <c r="K50" s="2">
        <v>1000</v>
      </c>
      <c r="M50" s="2">
        <v>1000</v>
      </c>
      <c r="N50" t="str" cm="1">
        <f t="array" ref="N50">IF(M50=Table5[[#This Row],[Total Amount]],"Correct",Check)</f>
        <v>Correct</v>
      </c>
    </row>
    <row r="51" spans="3:14" x14ac:dyDescent="0.25">
      <c r="C51" s="2">
        <v>50</v>
      </c>
      <c r="D51" s="10">
        <v>45162</v>
      </c>
      <c r="E51" s="2" t="s">
        <v>70</v>
      </c>
      <c r="F51" s="2" t="s">
        <v>20</v>
      </c>
      <c r="G51" s="2">
        <v>27</v>
      </c>
      <c r="H51" s="2" t="s">
        <v>18</v>
      </c>
      <c r="I51" s="2">
        <v>3</v>
      </c>
      <c r="J51" s="2">
        <v>25</v>
      </c>
      <c r="K51" s="2">
        <v>75</v>
      </c>
      <c r="M51" s="2">
        <v>75</v>
      </c>
      <c r="N51" t="str" cm="1">
        <f t="array" ref="N51">IF(M51=Table5[[#This Row],[Total Amount]],"Correct",Check)</f>
        <v>Correct</v>
      </c>
    </row>
    <row r="52" spans="3:14" x14ac:dyDescent="0.25">
      <c r="C52" s="2">
        <v>51</v>
      </c>
      <c r="D52" s="10">
        <v>45201</v>
      </c>
      <c r="E52" s="2" t="s">
        <v>71</v>
      </c>
      <c r="F52" s="2" t="s">
        <v>17</v>
      </c>
      <c r="G52" s="2">
        <v>27</v>
      </c>
      <c r="H52" s="2" t="s">
        <v>18</v>
      </c>
      <c r="I52" s="2">
        <v>3</v>
      </c>
      <c r="J52" s="2">
        <v>25</v>
      </c>
      <c r="K52" s="2">
        <v>75</v>
      </c>
      <c r="M52" s="2">
        <v>75</v>
      </c>
      <c r="N52" t="str" cm="1">
        <f t="array" ref="N52">IF(M52=Table5[[#This Row],[Total Amount]],"Correct",Check)</f>
        <v>Correct</v>
      </c>
    </row>
    <row r="53" spans="3:14" x14ac:dyDescent="0.25">
      <c r="C53" s="2">
        <v>52</v>
      </c>
      <c r="D53" s="10">
        <v>44990</v>
      </c>
      <c r="E53" s="2" t="s">
        <v>72</v>
      </c>
      <c r="F53" s="2" t="s">
        <v>20</v>
      </c>
      <c r="G53" s="2">
        <v>36</v>
      </c>
      <c r="H53" s="2" t="s">
        <v>18</v>
      </c>
      <c r="I53" s="2">
        <v>1</v>
      </c>
      <c r="J53" s="2">
        <v>300</v>
      </c>
      <c r="K53" s="2">
        <v>300</v>
      </c>
      <c r="M53" s="2">
        <v>300</v>
      </c>
      <c r="N53" t="str" cm="1">
        <f t="array" ref="N53">IF(M53=Table5[[#This Row],[Total Amount]],"Correct",Check)</f>
        <v>Correct</v>
      </c>
    </row>
    <row r="54" spans="3:14" x14ac:dyDescent="0.25">
      <c r="C54" s="2">
        <v>53</v>
      </c>
      <c r="D54" s="10">
        <v>45120</v>
      </c>
      <c r="E54" s="2" t="s">
        <v>73</v>
      </c>
      <c r="F54" s="2" t="s">
        <v>17</v>
      </c>
      <c r="G54" s="2">
        <v>34</v>
      </c>
      <c r="H54" s="2" t="s">
        <v>23</v>
      </c>
      <c r="I54" s="2">
        <v>2</v>
      </c>
      <c r="J54" s="2">
        <v>50</v>
      </c>
      <c r="K54" s="2">
        <v>100</v>
      </c>
      <c r="M54" s="2">
        <v>100</v>
      </c>
      <c r="N54" t="str" cm="1">
        <f t="array" ref="N54">IF(M54=Table5[[#This Row],[Total Amount]],"Correct",Check)</f>
        <v>Correct</v>
      </c>
    </row>
    <row r="55" spans="3:14" x14ac:dyDescent="0.25">
      <c r="C55" s="2">
        <v>54</v>
      </c>
      <c r="D55" s="10">
        <v>44967</v>
      </c>
      <c r="E55" s="2" t="s">
        <v>74</v>
      </c>
      <c r="F55" s="2" t="s">
        <v>20</v>
      </c>
      <c r="G55" s="2">
        <v>38</v>
      </c>
      <c r="H55" s="2" t="s">
        <v>23</v>
      </c>
      <c r="I55" s="2">
        <v>3</v>
      </c>
      <c r="J55" s="2">
        <v>500</v>
      </c>
      <c r="K55" s="2">
        <v>1500</v>
      </c>
      <c r="M55" s="2">
        <v>1500</v>
      </c>
      <c r="N55" t="str" cm="1">
        <f t="array" ref="N55">IF(M55=Table5[[#This Row],[Total Amount]],"Correct",Check)</f>
        <v>Correct</v>
      </c>
    </row>
    <row r="56" spans="3:14" x14ac:dyDescent="0.25">
      <c r="C56" s="2">
        <v>55</v>
      </c>
      <c r="D56" s="10">
        <v>45209</v>
      </c>
      <c r="E56" s="2" t="s">
        <v>75</v>
      </c>
      <c r="F56" s="2" t="s">
        <v>17</v>
      </c>
      <c r="G56" s="2">
        <v>31</v>
      </c>
      <c r="H56" s="2" t="s">
        <v>18</v>
      </c>
      <c r="I56" s="2">
        <v>4</v>
      </c>
      <c r="J56" s="2">
        <v>30</v>
      </c>
      <c r="K56" s="2">
        <v>120</v>
      </c>
      <c r="M56" s="2">
        <v>120</v>
      </c>
      <c r="N56" t="str" cm="1">
        <f t="array" ref="N56">IF(M56=Table5[[#This Row],[Total Amount]],"Correct",Check)</f>
        <v>Correct</v>
      </c>
    </row>
    <row r="57" spans="3:14" x14ac:dyDescent="0.25">
      <c r="C57" s="2">
        <v>56</v>
      </c>
      <c r="D57" s="10">
        <v>45077</v>
      </c>
      <c r="E57" s="2" t="s">
        <v>76</v>
      </c>
      <c r="F57" s="2" t="s">
        <v>20</v>
      </c>
      <c r="G57" s="2">
        <v>26</v>
      </c>
      <c r="H57" s="2" t="s">
        <v>21</v>
      </c>
      <c r="I57" s="2">
        <v>3</v>
      </c>
      <c r="J57" s="2">
        <v>300</v>
      </c>
      <c r="K57" s="2">
        <v>900</v>
      </c>
      <c r="M57" s="2">
        <v>900</v>
      </c>
      <c r="N57" t="str" cm="1">
        <f t="array" ref="N57">IF(M57=Table5[[#This Row],[Total Amount]],"Correct",Check)</f>
        <v>Correct</v>
      </c>
    </row>
    <row r="58" spans="3:14" x14ac:dyDescent="0.25">
      <c r="C58" s="2">
        <v>57</v>
      </c>
      <c r="D58" s="10">
        <v>45248</v>
      </c>
      <c r="E58" s="2" t="s">
        <v>77</v>
      </c>
      <c r="F58" s="2" t="s">
        <v>20</v>
      </c>
      <c r="G58" s="2">
        <v>63</v>
      </c>
      <c r="H58" s="2" t="s">
        <v>18</v>
      </c>
      <c r="I58" s="2">
        <v>1</v>
      </c>
      <c r="J58" s="2">
        <v>30</v>
      </c>
      <c r="K58" s="2">
        <v>30</v>
      </c>
      <c r="M58" s="2">
        <v>30</v>
      </c>
      <c r="N58" t="str" cm="1">
        <f t="array" ref="N58">IF(M58=Table5[[#This Row],[Total Amount]],"Correct",Check)</f>
        <v>Correct</v>
      </c>
    </row>
    <row r="59" spans="3:14" x14ac:dyDescent="0.25">
      <c r="C59" s="2">
        <v>58</v>
      </c>
      <c r="D59" s="10">
        <v>45243</v>
      </c>
      <c r="E59" s="2" t="s">
        <v>78</v>
      </c>
      <c r="F59" s="2" t="s">
        <v>17</v>
      </c>
      <c r="G59" s="2">
        <v>18</v>
      </c>
      <c r="H59" s="2" t="s">
        <v>21</v>
      </c>
      <c r="I59" s="2">
        <v>4</v>
      </c>
      <c r="J59" s="2">
        <v>300</v>
      </c>
      <c r="K59" s="2">
        <v>1200</v>
      </c>
      <c r="M59" s="2">
        <v>1200</v>
      </c>
      <c r="N59" t="str" cm="1">
        <f t="array" ref="N59">IF(M59=Table5[[#This Row],[Total Amount]],"Correct",Check)</f>
        <v>Correct</v>
      </c>
    </row>
    <row r="60" spans="3:14" x14ac:dyDescent="0.25">
      <c r="C60" s="2">
        <v>59</v>
      </c>
      <c r="D60" s="10">
        <v>45112</v>
      </c>
      <c r="E60" s="2" t="s">
        <v>79</v>
      </c>
      <c r="F60" s="2" t="s">
        <v>17</v>
      </c>
      <c r="G60" s="2">
        <v>62</v>
      </c>
      <c r="H60" s="2" t="s">
        <v>21</v>
      </c>
      <c r="I60" s="2">
        <v>1</v>
      </c>
      <c r="J60" s="2">
        <v>50</v>
      </c>
      <c r="K60" s="2">
        <v>50</v>
      </c>
      <c r="M60" s="2">
        <v>50</v>
      </c>
      <c r="N60" t="str" cm="1">
        <f t="array" ref="N60">IF(M60=Table5[[#This Row],[Total Amount]],"Correct",Check)</f>
        <v>Correct</v>
      </c>
    </row>
    <row r="61" spans="3:14" x14ac:dyDescent="0.25">
      <c r="C61" s="2">
        <v>60</v>
      </c>
      <c r="D61" s="10">
        <v>45222</v>
      </c>
      <c r="E61" s="2" t="s">
        <v>80</v>
      </c>
      <c r="F61" s="2" t="s">
        <v>17</v>
      </c>
      <c r="G61" s="2">
        <v>30</v>
      </c>
      <c r="H61" s="2" t="s">
        <v>18</v>
      </c>
      <c r="I61" s="2">
        <v>3</v>
      </c>
      <c r="J61" s="2">
        <v>50</v>
      </c>
      <c r="K61" s="2">
        <v>150</v>
      </c>
      <c r="M61" s="2">
        <v>150</v>
      </c>
      <c r="N61" t="str" cm="1">
        <f t="array" ref="N61">IF(M61=Table5[[#This Row],[Total Amount]],"Correct",Check)</f>
        <v>Correct</v>
      </c>
    </row>
    <row r="62" spans="3:14" x14ac:dyDescent="0.25">
      <c r="C62" s="2">
        <v>61</v>
      </c>
      <c r="D62" s="10">
        <v>45025</v>
      </c>
      <c r="E62" s="2" t="s">
        <v>81</v>
      </c>
      <c r="F62" s="2" t="s">
        <v>17</v>
      </c>
      <c r="G62" s="2">
        <v>21</v>
      </c>
      <c r="H62" s="2" t="s">
        <v>18</v>
      </c>
      <c r="I62" s="2">
        <v>4</v>
      </c>
      <c r="J62" s="2">
        <v>50</v>
      </c>
      <c r="K62" s="2">
        <v>200</v>
      </c>
      <c r="M62" s="2">
        <v>200</v>
      </c>
      <c r="N62" t="str" cm="1">
        <f t="array" ref="N62">IF(M62=Table5[[#This Row],[Total Amount]],"Correct",Check)</f>
        <v>Correct</v>
      </c>
    </row>
    <row r="63" spans="3:14" x14ac:dyDescent="0.25">
      <c r="C63" s="2">
        <v>62</v>
      </c>
      <c r="D63" s="10">
        <v>45287</v>
      </c>
      <c r="E63" s="2" t="s">
        <v>82</v>
      </c>
      <c r="F63" s="2" t="s">
        <v>17</v>
      </c>
      <c r="G63" s="2">
        <v>18</v>
      </c>
      <c r="H63" s="2" t="s">
        <v>18</v>
      </c>
      <c r="I63" s="2">
        <v>2</v>
      </c>
      <c r="J63" s="2">
        <v>50</v>
      </c>
      <c r="K63" s="2">
        <v>100</v>
      </c>
      <c r="M63" s="2">
        <v>100</v>
      </c>
      <c r="N63" t="str" cm="1">
        <f t="array" ref="N63">IF(M63=Table5[[#This Row],[Total Amount]],"Correct",Check)</f>
        <v>Correct</v>
      </c>
    </row>
    <row r="64" spans="3:14" x14ac:dyDescent="0.25">
      <c r="C64" s="2">
        <v>63</v>
      </c>
      <c r="D64" s="10">
        <v>44962</v>
      </c>
      <c r="E64" s="2" t="s">
        <v>83</v>
      </c>
      <c r="F64" s="2" t="s">
        <v>17</v>
      </c>
      <c r="G64" s="2">
        <v>57</v>
      </c>
      <c r="H64" s="2" t="s">
        <v>23</v>
      </c>
      <c r="I64" s="2">
        <v>2</v>
      </c>
      <c r="J64" s="2">
        <v>25</v>
      </c>
      <c r="K64" s="2">
        <v>50</v>
      </c>
      <c r="M64" s="2">
        <v>50</v>
      </c>
      <c r="N64" t="str" cm="1">
        <f t="array" ref="N64">IF(M64=Table5[[#This Row],[Total Amount]],"Correct",Check)</f>
        <v>Correct</v>
      </c>
    </row>
    <row r="65" spans="3:14" x14ac:dyDescent="0.25">
      <c r="C65" s="2">
        <v>64</v>
      </c>
      <c r="D65" s="10">
        <v>44950</v>
      </c>
      <c r="E65" s="2" t="s">
        <v>84</v>
      </c>
      <c r="F65" s="2" t="s">
        <v>17</v>
      </c>
      <c r="G65" s="2">
        <v>49</v>
      </c>
      <c r="H65" s="2" t="s">
        <v>21</v>
      </c>
      <c r="I65" s="2">
        <v>4</v>
      </c>
      <c r="J65" s="2">
        <v>25</v>
      </c>
      <c r="K65" s="2">
        <v>100</v>
      </c>
      <c r="M65" s="2">
        <v>100</v>
      </c>
      <c r="N65" t="str" cm="1">
        <f t="array" ref="N65">IF(M65=Table5[[#This Row],[Total Amount]],"Correct",Check)</f>
        <v>Correct</v>
      </c>
    </row>
    <row r="66" spans="3:14" x14ac:dyDescent="0.25">
      <c r="C66" s="2">
        <v>65</v>
      </c>
      <c r="D66" s="10">
        <v>45265</v>
      </c>
      <c r="E66" s="2" t="s">
        <v>85</v>
      </c>
      <c r="F66" s="2" t="s">
        <v>17</v>
      </c>
      <c r="G66" s="2">
        <v>51</v>
      </c>
      <c r="H66" s="2" t="s">
        <v>23</v>
      </c>
      <c r="I66" s="2">
        <v>4</v>
      </c>
      <c r="J66" s="2">
        <v>500</v>
      </c>
      <c r="K66" s="2">
        <v>2000</v>
      </c>
      <c r="M66" s="2">
        <v>2000</v>
      </c>
      <c r="N66" t="str" cm="1">
        <f t="array" ref="N66">IF(M66=Table5[[#This Row],[Total Amount]],"Correct",Check)</f>
        <v>Correct</v>
      </c>
    </row>
    <row r="67" spans="3:14" x14ac:dyDescent="0.25">
      <c r="C67" s="2">
        <v>66</v>
      </c>
      <c r="D67" s="10">
        <v>45043</v>
      </c>
      <c r="E67" s="2" t="s">
        <v>86</v>
      </c>
      <c r="F67" s="2" t="s">
        <v>20</v>
      </c>
      <c r="G67" s="2">
        <v>45</v>
      </c>
      <c r="H67" s="2" t="s">
        <v>23</v>
      </c>
      <c r="I67" s="2">
        <v>1</v>
      </c>
      <c r="J67" s="2">
        <v>30</v>
      </c>
      <c r="K67" s="2">
        <v>30</v>
      </c>
      <c r="M67" s="2">
        <v>30</v>
      </c>
      <c r="N67" t="str" cm="1">
        <f t="array" ref="N67">IF(M67=Table5[[#This Row],[Total Amount]],"Correct",Check)</f>
        <v>Correct</v>
      </c>
    </row>
    <row r="68" spans="3:14" x14ac:dyDescent="0.25">
      <c r="C68" s="2">
        <v>67</v>
      </c>
      <c r="D68" s="10">
        <v>45075</v>
      </c>
      <c r="E68" s="2" t="s">
        <v>87</v>
      </c>
      <c r="F68" s="2" t="s">
        <v>20</v>
      </c>
      <c r="G68" s="2">
        <v>48</v>
      </c>
      <c r="H68" s="2" t="s">
        <v>18</v>
      </c>
      <c r="I68" s="2">
        <v>4</v>
      </c>
      <c r="J68" s="2">
        <v>300</v>
      </c>
      <c r="K68" s="2">
        <v>1200</v>
      </c>
      <c r="M68" s="2">
        <v>1200</v>
      </c>
      <c r="N68" t="str" cm="1">
        <f t="array" ref="N68">IF(M68=Table5[[#This Row],[Total Amount]],"Correct",Check)</f>
        <v>Correct</v>
      </c>
    </row>
    <row r="69" spans="3:14" x14ac:dyDescent="0.25">
      <c r="C69" s="2">
        <v>68</v>
      </c>
      <c r="D69" s="10">
        <v>44967</v>
      </c>
      <c r="E69" s="2" t="s">
        <v>88</v>
      </c>
      <c r="F69" s="2" t="s">
        <v>17</v>
      </c>
      <c r="G69" s="2">
        <v>25</v>
      </c>
      <c r="H69" s="2" t="s">
        <v>23</v>
      </c>
      <c r="I69" s="2">
        <v>1</v>
      </c>
      <c r="J69" s="2">
        <v>300</v>
      </c>
      <c r="K69" s="2">
        <v>300</v>
      </c>
      <c r="M69" s="2">
        <v>300</v>
      </c>
      <c r="N69" t="str" cm="1">
        <f t="array" ref="N69">IF(M69=Table5[[#This Row],[Total Amount]],"Correct",Check)</f>
        <v>Correct</v>
      </c>
    </row>
    <row r="70" spans="3:14" x14ac:dyDescent="0.25">
      <c r="C70" s="2">
        <v>69</v>
      </c>
      <c r="D70" s="10">
        <v>45046</v>
      </c>
      <c r="E70" s="2" t="s">
        <v>89</v>
      </c>
      <c r="F70" s="2" t="s">
        <v>20</v>
      </c>
      <c r="G70" s="2">
        <v>56</v>
      </c>
      <c r="H70" s="2" t="s">
        <v>18</v>
      </c>
      <c r="I70" s="2">
        <v>3</v>
      </c>
      <c r="J70" s="2">
        <v>25</v>
      </c>
      <c r="K70" s="2">
        <v>75</v>
      </c>
      <c r="M70" s="2">
        <v>75</v>
      </c>
      <c r="N70" t="str" cm="1">
        <f t="array" ref="N70">IF(M70=Table5[[#This Row],[Total Amount]],"Correct",Check)</f>
        <v>Correct</v>
      </c>
    </row>
    <row r="71" spans="3:14" x14ac:dyDescent="0.25">
      <c r="C71" s="2">
        <v>70</v>
      </c>
      <c r="D71" s="10">
        <v>44978</v>
      </c>
      <c r="E71" s="2" t="s">
        <v>90</v>
      </c>
      <c r="F71" s="2" t="s">
        <v>20</v>
      </c>
      <c r="G71" s="2">
        <v>43</v>
      </c>
      <c r="H71" s="2" t="s">
        <v>21</v>
      </c>
      <c r="I71" s="2">
        <v>1</v>
      </c>
      <c r="J71" s="2">
        <v>300</v>
      </c>
      <c r="K71" s="2">
        <v>300</v>
      </c>
      <c r="M71" s="2">
        <v>300</v>
      </c>
      <c r="N71" t="str" cm="1">
        <f t="array" ref="N71">IF(M71=Table5[[#This Row],[Total Amount]],"Correct",Check)</f>
        <v>Correct</v>
      </c>
    </row>
    <row r="72" spans="3:14" x14ac:dyDescent="0.25">
      <c r="C72" s="2">
        <v>71</v>
      </c>
      <c r="D72" s="10">
        <v>45121</v>
      </c>
      <c r="E72" s="2" t="s">
        <v>91</v>
      </c>
      <c r="F72" s="2" t="s">
        <v>20</v>
      </c>
      <c r="G72" s="2">
        <v>51</v>
      </c>
      <c r="H72" s="2" t="s">
        <v>18</v>
      </c>
      <c r="I72" s="2">
        <v>4</v>
      </c>
      <c r="J72" s="2">
        <v>25</v>
      </c>
      <c r="K72" s="2">
        <v>100</v>
      </c>
      <c r="M72" s="2">
        <v>100</v>
      </c>
      <c r="N72" t="str" cm="1">
        <f t="array" ref="N72">IF(M72=Table5[[#This Row],[Total Amount]],"Correct",Check)</f>
        <v>Correct</v>
      </c>
    </row>
    <row r="73" spans="3:14" x14ac:dyDescent="0.25">
      <c r="C73" s="2">
        <v>72</v>
      </c>
      <c r="D73" s="10">
        <v>45069</v>
      </c>
      <c r="E73" s="2" t="s">
        <v>92</v>
      </c>
      <c r="F73" s="2" t="s">
        <v>20</v>
      </c>
      <c r="G73" s="2">
        <v>20</v>
      </c>
      <c r="H73" s="2" t="s">
        <v>23</v>
      </c>
      <c r="I73" s="2">
        <v>4</v>
      </c>
      <c r="J73" s="2">
        <v>500</v>
      </c>
      <c r="K73" s="2">
        <v>2000</v>
      </c>
      <c r="M73" s="2">
        <v>2000</v>
      </c>
      <c r="N73" t="str" cm="1">
        <f t="array" ref="N73">IF(M73=Table5[[#This Row],[Total Amount]],"Correct",Check)</f>
        <v>Correct</v>
      </c>
    </row>
    <row r="74" spans="3:14" x14ac:dyDescent="0.25">
      <c r="C74" s="2">
        <v>73</v>
      </c>
      <c r="D74" s="10">
        <v>45159</v>
      </c>
      <c r="E74" s="2" t="s">
        <v>93</v>
      </c>
      <c r="F74" s="2" t="s">
        <v>17</v>
      </c>
      <c r="G74" s="2">
        <v>29</v>
      </c>
      <c r="H74" s="2" t="s">
        <v>23</v>
      </c>
      <c r="I74" s="2">
        <v>3</v>
      </c>
      <c r="J74" s="2">
        <v>30</v>
      </c>
      <c r="K74" s="2">
        <v>90</v>
      </c>
      <c r="M74" s="2">
        <v>90</v>
      </c>
      <c r="N74" t="str" cm="1">
        <f t="array" ref="N74">IF(M74=Table5[[#This Row],[Total Amount]],"Correct",Check)</f>
        <v>Correct</v>
      </c>
    </row>
    <row r="75" spans="3:14" x14ac:dyDescent="0.25">
      <c r="C75" s="2">
        <v>74</v>
      </c>
      <c r="D75" s="10">
        <v>45252</v>
      </c>
      <c r="E75" s="2" t="s">
        <v>94</v>
      </c>
      <c r="F75" s="2" t="s">
        <v>20</v>
      </c>
      <c r="G75" s="2">
        <v>18</v>
      </c>
      <c r="H75" s="2" t="s">
        <v>18</v>
      </c>
      <c r="I75" s="2">
        <v>4</v>
      </c>
      <c r="J75" s="2">
        <v>500</v>
      </c>
      <c r="K75" s="2">
        <v>2000</v>
      </c>
      <c r="M75" s="2">
        <v>2000</v>
      </c>
      <c r="N75" t="str" cm="1">
        <f t="array" ref="N75">IF(M75=Table5[[#This Row],[Total Amount]],"Correct",Check)</f>
        <v>Correct</v>
      </c>
    </row>
    <row r="76" spans="3:14" x14ac:dyDescent="0.25">
      <c r="C76" s="2">
        <v>75</v>
      </c>
      <c r="D76" s="10">
        <v>45113</v>
      </c>
      <c r="E76" s="2" t="s">
        <v>95</v>
      </c>
      <c r="F76" s="2" t="s">
        <v>17</v>
      </c>
      <c r="G76" s="2">
        <v>61</v>
      </c>
      <c r="H76" s="2" t="s">
        <v>18</v>
      </c>
      <c r="I76" s="2">
        <v>4</v>
      </c>
      <c r="J76" s="2">
        <v>50</v>
      </c>
      <c r="K76" s="2">
        <v>200</v>
      </c>
      <c r="M76" s="2">
        <v>200</v>
      </c>
      <c r="N76" t="str" cm="1">
        <f t="array" ref="N76">IF(M76=Table5[[#This Row],[Total Amount]],"Correct",Check)</f>
        <v>Correct</v>
      </c>
    </row>
    <row r="77" spans="3:14" x14ac:dyDescent="0.25">
      <c r="C77" s="2">
        <v>76</v>
      </c>
      <c r="D77" s="10">
        <v>45010</v>
      </c>
      <c r="E77" s="2" t="s">
        <v>96</v>
      </c>
      <c r="F77" s="2" t="s">
        <v>20</v>
      </c>
      <c r="G77" s="2">
        <v>22</v>
      </c>
      <c r="H77" s="2" t="s">
        <v>23</v>
      </c>
      <c r="I77" s="2">
        <v>2</v>
      </c>
      <c r="J77" s="2">
        <v>50</v>
      </c>
      <c r="K77" s="2">
        <v>100</v>
      </c>
      <c r="M77" s="2">
        <v>100</v>
      </c>
      <c r="N77" t="str" cm="1">
        <f t="array" ref="N77">IF(M77=Table5[[#This Row],[Total Amount]],"Correct",Check)</f>
        <v>Correct</v>
      </c>
    </row>
    <row r="78" spans="3:14" x14ac:dyDescent="0.25">
      <c r="C78" s="2">
        <v>77</v>
      </c>
      <c r="D78" s="10">
        <v>45116</v>
      </c>
      <c r="E78" s="2" t="s">
        <v>97</v>
      </c>
      <c r="F78" s="2" t="s">
        <v>20</v>
      </c>
      <c r="G78" s="2">
        <v>47</v>
      </c>
      <c r="H78" s="2" t="s">
        <v>21</v>
      </c>
      <c r="I78" s="2">
        <v>2</v>
      </c>
      <c r="J78" s="2">
        <v>50</v>
      </c>
      <c r="K78" s="2">
        <v>100</v>
      </c>
      <c r="M78" s="2">
        <v>100</v>
      </c>
      <c r="N78" t="str" cm="1">
        <f t="array" ref="N78">IF(M78=Table5[[#This Row],[Total Amount]],"Correct",Check)</f>
        <v>Correct</v>
      </c>
    </row>
    <row r="79" spans="3:14" x14ac:dyDescent="0.25">
      <c r="C79" s="2">
        <v>78</v>
      </c>
      <c r="D79" s="10">
        <v>45108</v>
      </c>
      <c r="E79" s="2" t="s">
        <v>98</v>
      </c>
      <c r="F79" s="2" t="s">
        <v>20</v>
      </c>
      <c r="G79" s="2">
        <v>47</v>
      </c>
      <c r="H79" s="2" t="s">
        <v>21</v>
      </c>
      <c r="I79" s="2">
        <v>3</v>
      </c>
      <c r="J79" s="2">
        <v>500</v>
      </c>
      <c r="K79" s="2">
        <v>1500</v>
      </c>
      <c r="M79" s="2">
        <v>1500</v>
      </c>
      <c r="N79" t="str" cm="1">
        <f t="array" ref="N79">IF(M79=Table5[[#This Row],[Total Amount]],"Correct",Check)</f>
        <v>Correct</v>
      </c>
    </row>
    <row r="80" spans="3:14" x14ac:dyDescent="0.25">
      <c r="C80" s="2">
        <v>79</v>
      </c>
      <c r="D80" s="10">
        <v>45034</v>
      </c>
      <c r="E80" s="2" t="s">
        <v>99</v>
      </c>
      <c r="F80" s="2" t="s">
        <v>17</v>
      </c>
      <c r="G80" s="2">
        <v>34</v>
      </c>
      <c r="H80" s="2" t="s">
        <v>18</v>
      </c>
      <c r="I80" s="2">
        <v>1</v>
      </c>
      <c r="J80" s="2">
        <v>300</v>
      </c>
      <c r="K80" s="2">
        <v>300</v>
      </c>
      <c r="M80" s="2">
        <v>300</v>
      </c>
      <c r="N80" t="str" cm="1">
        <f t="array" ref="N80">IF(M80=Table5[[#This Row],[Total Amount]],"Correct",Check)</f>
        <v>Correct</v>
      </c>
    </row>
    <row r="81" spans="3:14" x14ac:dyDescent="0.25">
      <c r="C81" s="2">
        <v>80</v>
      </c>
      <c r="D81" s="10">
        <v>45270</v>
      </c>
      <c r="E81" s="2" t="s">
        <v>100</v>
      </c>
      <c r="F81" s="2" t="s">
        <v>20</v>
      </c>
      <c r="G81" s="2">
        <v>64</v>
      </c>
      <c r="H81" s="2" t="s">
        <v>21</v>
      </c>
      <c r="I81" s="2">
        <v>2</v>
      </c>
      <c r="J81" s="2">
        <v>30</v>
      </c>
      <c r="K81" s="2">
        <v>60</v>
      </c>
      <c r="M81" s="2">
        <v>60</v>
      </c>
      <c r="N81" t="str" cm="1">
        <f t="array" ref="N81">IF(M81=Table5[[#This Row],[Total Amount]],"Correct",Check)</f>
        <v>Correct</v>
      </c>
    </row>
    <row r="82" spans="3:14" x14ac:dyDescent="0.25">
      <c r="C82" s="2">
        <v>81</v>
      </c>
      <c r="D82" s="10">
        <v>45063</v>
      </c>
      <c r="E82" s="2" t="s">
        <v>101</v>
      </c>
      <c r="F82" s="2" t="s">
        <v>17</v>
      </c>
      <c r="G82" s="2">
        <v>40</v>
      </c>
      <c r="H82" s="2" t="s">
        <v>23</v>
      </c>
      <c r="I82" s="2">
        <v>1</v>
      </c>
      <c r="J82" s="2">
        <v>50</v>
      </c>
      <c r="K82" s="2">
        <v>50</v>
      </c>
      <c r="M82" s="2">
        <v>50</v>
      </c>
      <c r="N82" t="str" cm="1">
        <f t="array" ref="N82">IF(M82=Table5[[#This Row],[Total Amount]],"Correct",Check)</f>
        <v>Correct</v>
      </c>
    </row>
    <row r="83" spans="3:14" x14ac:dyDescent="0.25">
      <c r="C83" s="2">
        <v>82</v>
      </c>
      <c r="D83" s="10">
        <v>45286</v>
      </c>
      <c r="E83" s="2" t="s">
        <v>102</v>
      </c>
      <c r="F83" s="2" t="s">
        <v>20</v>
      </c>
      <c r="G83" s="2">
        <v>32</v>
      </c>
      <c r="H83" s="2" t="s">
        <v>18</v>
      </c>
      <c r="I83" s="2">
        <v>4</v>
      </c>
      <c r="J83" s="2">
        <v>50</v>
      </c>
      <c r="K83" s="2">
        <v>200</v>
      </c>
      <c r="M83" s="2">
        <v>200</v>
      </c>
      <c r="N83" t="str" cm="1">
        <f t="array" ref="N83">IF(M83=Table5[[#This Row],[Total Amount]],"Correct",Check)</f>
        <v>Correct</v>
      </c>
    </row>
    <row r="84" spans="3:14" x14ac:dyDescent="0.25">
      <c r="C84" s="2">
        <v>83</v>
      </c>
      <c r="D84" s="10">
        <v>45276</v>
      </c>
      <c r="E84" s="2" t="s">
        <v>103</v>
      </c>
      <c r="F84" s="2" t="s">
        <v>17</v>
      </c>
      <c r="G84" s="2">
        <v>54</v>
      </c>
      <c r="H84" s="2" t="s">
        <v>23</v>
      </c>
      <c r="I84" s="2">
        <v>2</v>
      </c>
      <c r="J84" s="2">
        <v>50</v>
      </c>
      <c r="K84" s="2">
        <v>100</v>
      </c>
      <c r="M84" s="2">
        <v>100</v>
      </c>
      <c r="N84" t="str" cm="1">
        <f t="array" ref="N84">IF(M84=Table5[[#This Row],[Total Amount]],"Correct",Check)</f>
        <v>Correct</v>
      </c>
    </row>
    <row r="85" spans="3:14" x14ac:dyDescent="0.25">
      <c r="C85" s="2">
        <v>84</v>
      </c>
      <c r="D85" s="10">
        <v>45258</v>
      </c>
      <c r="E85" s="2" t="s">
        <v>104</v>
      </c>
      <c r="F85" s="2" t="s">
        <v>20</v>
      </c>
      <c r="G85" s="2">
        <v>38</v>
      </c>
      <c r="H85" s="2" t="s">
        <v>23</v>
      </c>
      <c r="I85" s="2">
        <v>3</v>
      </c>
      <c r="J85" s="2">
        <v>30</v>
      </c>
      <c r="K85" s="2">
        <v>90</v>
      </c>
      <c r="M85" s="2">
        <v>90</v>
      </c>
      <c r="N85" t="str" cm="1">
        <f t="array" ref="N85">IF(M85=Table5[[#This Row],[Total Amount]],"Correct",Check)</f>
        <v>Correct</v>
      </c>
    </row>
    <row r="86" spans="3:14" x14ac:dyDescent="0.25">
      <c r="C86" s="2">
        <v>85</v>
      </c>
      <c r="D86" s="10">
        <v>44963</v>
      </c>
      <c r="E86" s="2" t="s">
        <v>105</v>
      </c>
      <c r="F86" s="2" t="s">
        <v>17</v>
      </c>
      <c r="G86" s="2">
        <v>31</v>
      </c>
      <c r="H86" s="2" t="s">
        <v>21</v>
      </c>
      <c r="I86" s="2">
        <v>3</v>
      </c>
      <c r="J86" s="2">
        <v>50</v>
      </c>
      <c r="K86" s="2">
        <v>150</v>
      </c>
      <c r="M86" s="2">
        <v>150</v>
      </c>
      <c r="N86" t="str" cm="1">
        <f t="array" ref="N86">IF(M86=Table5[[#This Row],[Total Amount]],"Correct",Check)</f>
        <v>Correct</v>
      </c>
    </row>
    <row r="87" spans="3:14" x14ac:dyDescent="0.25">
      <c r="C87" s="2">
        <v>86</v>
      </c>
      <c r="D87" s="10">
        <v>45238</v>
      </c>
      <c r="E87" s="2" t="s">
        <v>106</v>
      </c>
      <c r="F87" s="2" t="s">
        <v>17</v>
      </c>
      <c r="G87" s="2">
        <v>19</v>
      </c>
      <c r="H87" s="2" t="s">
        <v>18</v>
      </c>
      <c r="I87" s="2">
        <v>3</v>
      </c>
      <c r="J87" s="2">
        <v>30</v>
      </c>
      <c r="K87" s="2">
        <v>90</v>
      </c>
      <c r="M87" s="2">
        <v>90</v>
      </c>
      <c r="N87" t="str" cm="1">
        <f t="array" ref="N87">IF(M87=Table5[[#This Row],[Total Amount]],"Correct",Check)</f>
        <v>Correct</v>
      </c>
    </row>
    <row r="88" spans="3:14" x14ac:dyDescent="0.25">
      <c r="C88" s="2">
        <v>87</v>
      </c>
      <c r="D88" s="10">
        <v>45252</v>
      </c>
      <c r="E88" s="2" t="s">
        <v>107</v>
      </c>
      <c r="F88" s="2" t="s">
        <v>20</v>
      </c>
      <c r="G88" s="2">
        <v>28</v>
      </c>
      <c r="H88" s="2" t="s">
        <v>18</v>
      </c>
      <c r="I88" s="2">
        <v>2</v>
      </c>
      <c r="J88" s="2">
        <v>50</v>
      </c>
      <c r="K88" s="2">
        <v>100</v>
      </c>
      <c r="M88" s="2">
        <v>100</v>
      </c>
      <c r="N88" t="str" cm="1">
        <f t="array" ref="N88">IF(M88=Table5[[#This Row],[Total Amount]],"Correct",Check)</f>
        <v>Correct</v>
      </c>
    </row>
    <row r="89" spans="3:14" x14ac:dyDescent="0.25">
      <c r="C89" s="2">
        <v>88</v>
      </c>
      <c r="D89" s="10">
        <v>45014</v>
      </c>
      <c r="E89" s="2" t="s">
        <v>108</v>
      </c>
      <c r="F89" s="2" t="s">
        <v>17</v>
      </c>
      <c r="G89" s="2">
        <v>56</v>
      </c>
      <c r="H89" s="2" t="s">
        <v>21</v>
      </c>
      <c r="I89" s="2">
        <v>1</v>
      </c>
      <c r="J89" s="2">
        <v>500</v>
      </c>
      <c r="K89" s="2">
        <v>500</v>
      </c>
      <c r="M89" s="2">
        <v>500</v>
      </c>
      <c r="N89" t="str" cm="1">
        <f t="array" ref="N89">IF(M89=Table5[[#This Row],[Total Amount]],"Correct",Check)</f>
        <v>Correct</v>
      </c>
    </row>
    <row r="90" spans="3:14" x14ac:dyDescent="0.25">
      <c r="C90" s="2">
        <v>89</v>
      </c>
      <c r="D90" s="10">
        <v>45200</v>
      </c>
      <c r="E90" s="2" t="s">
        <v>109</v>
      </c>
      <c r="F90" s="2" t="s">
        <v>20</v>
      </c>
      <c r="G90" s="2">
        <v>55</v>
      </c>
      <c r="H90" s="2" t="s">
        <v>23</v>
      </c>
      <c r="I90" s="2">
        <v>4</v>
      </c>
      <c r="J90" s="2">
        <v>500</v>
      </c>
      <c r="K90" s="2">
        <v>2000</v>
      </c>
      <c r="M90" s="2">
        <v>2000</v>
      </c>
      <c r="N90" t="str" cm="1">
        <f t="array" ref="N90">IF(M90=Table5[[#This Row],[Total Amount]],"Correct",Check)</f>
        <v>Correct</v>
      </c>
    </row>
    <row r="91" spans="3:14" x14ac:dyDescent="0.25">
      <c r="C91" s="2">
        <v>90</v>
      </c>
      <c r="D91" s="10">
        <v>45052</v>
      </c>
      <c r="E91" s="2" t="s">
        <v>110</v>
      </c>
      <c r="F91" s="2" t="s">
        <v>20</v>
      </c>
      <c r="G91" s="2">
        <v>51</v>
      </c>
      <c r="H91" s="2" t="s">
        <v>23</v>
      </c>
      <c r="I91" s="2">
        <v>1</v>
      </c>
      <c r="J91" s="2">
        <v>30</v>
      </c>
      <c r="K91" s="2">
        <v>30</v>
      </c>
      <c r="M91" s="2">
        <v>30</v>
      </c>
      <c r="N91" t="str" cm="1">
        <f t="array" ref="N91">IF(M91=Table5[[#This Row],[Total Amount]],"Correct",Check)</f>
        <v>Correct</v>
      </c>
    </row>
    <row r="92" spans="3:14" x14ac:dyDescent="0.25">
      <c r="C92" s="2">
        <v>91</v>
      </c>
      <c r="D92" s="10">
        <v>45010</v>
      </c>
      <c r="E92" s="2" t="s">
        <v>111</v>
      </c>
      <c r="F92" s="2" t="s">
        <v>20</v>
      </c>
      <c r="G92" s="2">
        <v>55</v>
      </c>
      <c r="H92" s="2" t="s">
        <v>23</v>
      </c>
      <c r="I92" s="2">
        <v>1</v>
      </c>
      <c r="J92" s="2">
        <v>500</v>
      </c>
      <c r="K92" s="2">
        <v>500</v>
      </c>
      <c r="M92" s="2">
        <v>500</v>
      </c>
      <c r="N92" t="str" cm="1">
        <f t="array" ref="N92">IF(M92=Table5[[#This Row],[Total Amount]],"Correct",Check)</f>
        <v>Correct</v>
      </c>
    </row>
    <row r="93" spans="3:14" x14ac:dyDescent="0.25">
      <c r="C93" s="2">
        <v>92</v>
      </c>
      <c r="D93" s="10">
        <v>45163</v>
      </c>
      <c r="E93" s="2" t="s">
        <v>112</v>
      </c>
      <c r="F93" s="2" t="s">
        <v>20</v>
      </c>
      <c r="G93" s="2">
        <v>51</v>
      </c>
      <c r="H93" s="2" t="s">
        <v>23</v>
      </c>
      <c r="I93" s="2">
        <v>4</v>
      </c>
      <c r="J93" s="2">
        <v>30</v>
      </c>
      <c r="K93" s="2">
        <v>120</v>
      </c>
      <c r="M93" s="2">
        <v>120</v>
      </c>
      <c r="N93" t="str" cm="1">
        <f t="array" ref="N93">IF(M93=Table5[[#This Row],[Total Amount]],"Correct",Check)</f>
        <v>Correct</v>
      </c>
    </row>
    <row r="94" spans="3:14" x14ac:dyDescent="0.25">
      <c r="C94" s="2">
        <v>93</v>
      </c>
      <c r="D94" s="10">
        <v>45121</v>
      </c>
      <c r="E94" s="2" t="s">
        <v>113</v>
      </c>
      <c r="F94" s="2" t="s">
        <v>20</v>
      </c>
      <c r="G94" s="2">
        <v>35</v>
      </c>
      <c r="H94" s="2" t="s">
        <v>18</v>
      </c>
      <c r="I94" s="2">
        <v>4</v>
      </c>
      <c r="J94" s="2">
        <v>500</v>
      </c>
      <c r="K94" s="2">
        <v>2000</v>
      </c>
      <c r="M94" s="2">
        <v>2000</v>
      </c>
      <c r="N94" t="str" cm="1">
        <f t="array" ref="N94">IF(M94=Table5[[#This Row],[Total Amount]],"Correct",Check)</f>
        <v>Correct</v>
      </c>
    </row>
    <row r="95" spans="3:14" x14ac:dyDescent="0.25">
      <c r="C95" s="2">
        <v>94</v>
      </c>
      <c r="D95" s="10">
        <v>45065</v>
      </c>
      <c r="E95" s="2" t="s">
        <v>114</v>
      </c>
      <c r="F95" s="2" t="s">
        <v>20</v>
      </c>
      <c r="G95" s="2">
        <v>47</v>
      </c>
      <c r="H95" s="2" t="s">
        <v>18</v>
      </c>
      <c r="I95" s="2">
        <v>2</v>
      </c>
      <c r="J95" s="2">
        <v>500</v>
      </c>
      <c r="K95" s="2">
        <v>1000</v>
      </c>
      <c r="M95" s="2">
        <v>1000</v>
      </c>
      <c r="N95" t="str" cm="1">
        <f t="array" ref="N95">IF(M95=Table5[[#This Row],[Total Amount]],"Correct",Check)</f>
        <v>Correct</v>
      </c>
    </row>
    <row r="96" spans="3:14" x14ac:dyDescent="0.25">
      <c r="C96" s="2">
        <v>95</v>
      </c>
      <c r="D96" s="10">
        <v>45254</v>
      </c>
      <c r="E96" s="2" t="s">
        <v>115</v>
      </c>
      <c r="F96" s="2" t="s">
        <v>20</v>
      </c>
      <c r="G96" s="2">
        <v>32</v>
      </c>
      <c r="H96" s="2" t="s">
        <v>21</v>
      </c>
      <c r="I96" s="2">
        <v>2</v>
      </c>
      <c r="J96" s="2">
        <v>30</v>
      </c>
      <c r="K96" s="2">
        <v>60</v>
      </c>
      <c r="M96" s="2">
        <v>60</v>
      </c>
      <c r="N96" t="str" cm="1">
        <f t="array" ref="N96">IF(M96=Table5[[#This Row],[Total Amount]],"Correct",Check)</f>
        <v>Correct</v>
      </c>
    </row>
    <row r="97" spans="3:14" x14ac:dyDescent="0.25">
      <c r="C97" s="2">
        <v>96</v>
      </c>
      <c r="D97" s="10">
        <v>45279</v>
      </c>
      <c r="E97" s="2" t="s">
        <v>116</v>
      </c>
      <c r="F97" s="2" t="s">
        <v>20</v>
      </c>
      <c r="G97" s="2">
        <v>44</v>
      </c>
      <c r="H97" s="2" t="s">
        <v>21</v>
      </c>
      <c r="I97" s="2">
        <v>2</v>
      </c>
      <c r="J97" s="2">
        <v>300</v>
      </c>
      <c r="K97" s="2">
        <v>600</v>
      </c>
      <c r="M97" s="2">
        <v>600</v>
      </c>
      <c r="N97" t="str" cm="1">
        <f t="array" ref="N97">IF(M97=Table5[[#This Row],[Total Amount]],"Correct",Check)</f>
        <v>Correct</v>
      </c>
    </row>
    <row r="98" spans="3:14" x14ac:dyDescent="0.25">
      <c r="C98" s="2">
        <v>97</v>
      </c>
      <c r="D98" s="10">
        <v>45212</v>
      </c>
      <c r="E98" s="2" t="s">
        <v>117</v>
      </c>
      <c r="F98" s="2" t="s">
        <v>20</v>
      </c>
      <c r="G98" s="2">
        <v>51</v>
      </c>
      <c r="H98" s="2" t="s">
        <v>18</v>
      </c>
      <c r="I98" s="2">
        <v>2</v>
      </c>
      <c r="J98" s="2">
        <v>500</v>
      </c>
      <c r="K98" s="2">
        <v>1000</v>
      </c>
      <c r="M98" s="2">
        <v>1000</v>
      </c>
      <c r="N98" t="str" cm="1">
        <f t="array" ref="N98">IF(M98=Table5[[#This Row],[Total Amount]],"Correct",Check)</f>
        <v>Correct</v>
      </c>
    </row>
    <row r="99" spans="3:14" x14ac:dyDescent="0.25">
      <c r="C99" s="2">
        <v>98</v>
      </c>
      <c r="D99" s="10">
        <v>45039</v>
      </c>
      <c r="E99" s="2" t="s">
        <v>118</v>
      </c>
      <c r="F99" s="2" t="s">
        <v>20</v>
      </c>
      <c r="G99" s="2">
        <v>55</v>
      </c>
      <c r="H99" s="2" t="s">
        <v>18</v>
      </c>
      <c r="I99" s="2">
        <v>2</v>
      </c>
      <c r="J99" s="2">
        <v>50</v>
      </c>
      <c r="K99" s="2">
        <v>100</v>
      </c>
      <c r="M99" s="2">
        <v>100</v>
      </c>
      <c r="N99" t="str" cm="1">
        <f t="array" ref="N99">IF(M99=Table5[[#This Row],[Total Amount]],"Correct",Check)</f>
        <v>Correct</v>
      </c>
    </row>
    <row r="100" spans="3:14" x14ac:dyDescent="0.25">
      <c r="C100" s="2">
        <v>99</v>
      </c>
      <c r="D100" s="10">
        <v>45277</v>
      </c>
      <c r="E100" s="2" t="s">
        <v>119</v>
      </c>
      <c r="F100" s="2" t="s">
        <v>20</v>
      </c>
      <c r="G100" s="2">
        <v>50</v>
      </c>
      <c r="H100" s="2" t="s">
        <v>23</v>
      </c>
      <c r="I100" s="2">
        <v>4</v>
      </c>
      <c r="J100" s="2">
        <v>300</v>
      </c>
      <c r="K100" s="2">
        <v>1200</v>
      </c>
      <c r="M100" s="2">
        <v>1200</v>
      </c>
      <c r="N100" t="str" cm="1">
        <f t="array" ref="N100">IF(M100=Table5[[#This Row],[Total Amount]],"Correct",Check)</f>
        <v>Correct</v>
      </c>
    </row>
    <row r="101" spans="3:14" x14ac:dyDescent="0.25">
      <c r="C101" s="2">
        <v>100</v>
      </c>
      <c r="D101" s="10">
        <v>45093</v>
      </c>
      <c r="E101" s="2" t="s">
        <v>120</v>
      </c>
      <c r="F101" s="2" t="s">
        <v>17</v>
      </c>
      <c r="G101" s="2">
        <v>41</v>
      </c>
      <c r="H101" s="2" t="s">
        <v>23</v>
      </c>
      <c r="I101" s="2">
        <v>1</v>
      </c>
      <c r="J101" s="2">
        <v>30</v>
      </c>
      <c r="K101" s="2">
        <v>30</v>
      </c>
      <c r="M101" s="2">
        <v>30</v>
      </c>
      <c r="N101" t="str" cm="1">
        <f t="array" ref="N101">IF(M101=Table5[[#This Row],[Total Amount]],"Correct",Check)</f>
        <v>Correct</v>
      </c>
    </row>
    <row r="102" spans="3:14" x14ac:dyDescent="0.25">
      <c r="C102" s="2">
        <v>101</v>
      </c>
      <c r="D102" s="10">
        <v>44955</v>
      </c>
      <c r="E102" s="2" t="s">
        <v>121</v>
      </c>
      <c r="F102" s="2" t="s">
        <v>17</v>
      </c>
      <c r="G102" s="2">
        <v>32</v>
      </c>
      <c r="H102" s="2" t="s">
        <v>21</v>
      </c>
      <c r="I102" s="2">
        <v>2</v>
      </c>
      <c r="J102" s="2">
        <v>300</v>
      </c>
      <c r="K102" s="2">
        <v>600</v>
      </c>
      <c r="M102" s="2">
        <v>600</v>
      </c>
      <c r="N102" t="str" cm="1">
        <f t="array" ref="N102">IF(M102=Table5[[#This Row],[Total Amount]],"Correct",Check)</f>
        <v>Correct</v>
      </c>
    </row>
    <row r="103" spans="3:14" x14ac:dyDescent="0.25">
      <c r="C103" s="2">
        <v>102</v>
      </c>
      <c r="D103" s="10">
        <v>45044</v>
      </c>
      <c r="E103" s="2" t="s">
        <v>122</v>
      </c>
      <c r="F103" s="2" t="s">
        <v>20</v>
      </c>
      <c r="G103" s="2">
        <v>47</v>
      </c>
      <c r="H103" s="2" t="s">
        <v>18</v>
      </c>
      <c r="I103" s="2">
        <v>2</v>
      </c>
      <c r="J103" s="2">
        <v>25</v>
      </c>
      <c r="K103" s="2">
        <v>50</v>
      </c>
      <c r="M103" s="2">
        <v>50</v>
      </c>
      <c r="N103" t="str" cm="1">
        <f t="array" ref="N103">IF(M103=Table5[[#This Row],[Total Amount]],"Correct",Check)</f>
        <v>Correct</v>
      </c>
    </row>
    <row r="104" spans="3:14" x14ac:dyDescent="0.25">
      <c r="C104" s="2">
        <v>103</v>
      </c>
      <c r="D104" s="10">
        <v>44943</v>
      </c>
      <c r="E104" s="2" t="s">
        <v>123</v>
      </c>
      <c r="F104" s="2" t="s">
        <v>20</v>
      </c>
      <c r="G104" s="2">
        <v>59</v>
      </c>
      <c r="H104" s="2" t="s">
        <v>21</v>
      </c>
      <c r="I104" s="2">
        <v>1</v>
      </c>
      <c r="J104" s="2">
        <v>25</v>
      </c>
      <c r="K104" s="2">
        <v>25</v>
      </c>
      <c r="M104" s="2">
        <v>25</v>
      </c>
      <c r="N104" t="str" cm="1">
        <f t="array" ref="N104">IF(M104=Table5[[#This Row],[Total Amount]],"Correct",Check)</f>
        <v>Correct</v>
      </c>
    </row>
    <row r="105" spans="3:14" x14ac:dyDescent="0.25">
      <c r="C105" s="2">
        <v>104</v>
      </c>
      <c r="D105" s="10">
        <v>45088</v>
      </c>
      <c r="E105" s="2" t="s">
        <v>124</v>
      </c>
      <c r="F105" s="2" t="s">
        <v>20</v>
      </c>
      <c r="G105" s="2">
        <v>34</v>
      </c>
      <c r="H105" s="2" t="s">
        <v>18</v>
      </c>
      <c r="I105" s="2">
        <v>2</v>
      </c>
      <c r="J105" s="2">
        <v>500</v>
      </c>
      <c r="K105" s="2">
        <v>1000</v>
      </c>
      <c r="M105" s="2">
        <v>1000</v>
      </c>
      <c r="N105" t="str" cm="1">
        <f t="array" ref="N105">IF(M105=Table5[[#This Row],[Total Amount]],"Correct",Check)</f>
        <v>Correct</v>
      </c>
    </row>
    <row r="106" spans="3:14" x14ac:dyDescent="0.25">
      <c r="C106" s="2">
        <v>105</v>
      </c>
      <c r="D106" s="10">
        <v>45132</v>
      </c>
      <c r="E106" s="2" t="s">
        <v>125</v>
      </c>
      <c r="F106" s="2" t="s">
        <v>20</v>
      </c>
      <c r="G106" s="2">
        <v>22</v>
      </c>
      <c r="H106" s="2" t="s">
        <v>23</v>
      </c>
      <c r="I106" s="2">
        <v>1</v>
      </c>
      <c r="J106" s="2">
        <v>500</v>
      </c>
      <c r="K106" s="2">
        <v>500</v>
      </c>
      <c r="M106" s="2">
        <v>500</v>
      </c>
      <c r="N106" t="str" cm="1">
        <f t="array" ref="N106">IF(M106=Table5[[#This Row],[Total Amount]],"Correct",Check)</f>
        <v>Correct</v>
      </c>
    </row>
    <row r="107" spans="3:14" x14ac:dyDescent="0.25">
      <c r="C107" s="2">
        <v>106</v>
      </c>
      <c r="D107" s="10">
        <v>45064</v>
      </c>
      <c r="E107" s="2" t="s">
        <v>126</v>
      </c>
      <c r="F107" s="2" t="s">
        <v>20</v>
      </c>
      <c r="G107" s="2">
        <v>46</v>
      </c>
      <c r="H107" s="2" t="s">
        <v>21</v>
      </c>
      <c r="I107" s="2">
        <v>1</v>
      </c>
      <c r="J107" s="2">
        <v>50</v>
      </c>
      <c r="K107" s="2">
        <v>50</v>
      </c>
      <c r="M107" s="2">
        <v>50</v>
      </c>
      <c r="N107" t="str" cm="1">
        <f t="array" ref="N107">IF(M107=Table5[[#This Row],[Total Amount]],"Correct",Check)</f>
        <v>Correct</v>
      </c>
    </row>
    <row r="108" spans="3:14" x14ac:dyDescent="0.25">
      <c r="C108" s="2">
        <v>107</v>
      </c>
      <c r="D108" s="10">
        <v>44960</v>
      </c>
      <c r="E108" s="2" t="s">
        <v>127</v>
      </c>
      <c r="F108" s="2" t="s">
        <v>20</v>
      </c>
      <c r="G108" s="2">
        <v>21</v>
      </c>
      <c r="H108" s="2" t="s">
        <v>21</v>
      </c>
      <c r="I108" s="2">
        <v>4</v>
      </c>
      <c r="J108" s="2">
        <v>300</v>
      </c>
      <c r="K108" s="2">
        <v>1200</v>
      </c>
      <c r="M108" s="2">
        <v>1200</v>
      </c>
      <c r="N108" t="str" cm="1">
        <f t="array" ref="N108">IF(M108=Table5[[#This Row],[Total Amount]],"Correct",Check)</f>
        <v>Correct</v>
      </c>
    </row>
    <row r="109" spans="3:14" x14ac:dyDescent="0.25">
      <c r="C109" s="2">
        <v>108</v>
      </c>
      <c r="D109" s="10">
        <v>45035</v>
      </c>
      <c r="E109" s="2" t="s">
        <v>128</v>
      </c>
      <c r="F109" s="2" t="s">
        <v>20</v>
      </c>
      <c r="G109" s="2">
        <v>27</v>
      </c>
      <c r="H109" s="2" t="s">
        <v>18</v>
      </c>
      <c r="I109" s="2">
        <v>3</v>
      </c>
      <c r="J109" s="2">
        <v>25</v>
      </c>
      <c r="K109" s="2">
        <v>75</v>
      </c>
      <c r="M109" s="2">
        <v>75</v>
      </c>
      <c r="N109" t="str" cm="1">
        <f t="array" ref="N109">IF(M109=Table5[[#This Row],[Total Amount]],"Correct",Check)</f>
        <v>Correct</v>
      </c>
    </row>
    <row r="110" spans="3:14" x14ac:dyDescent="0.25">
      <c r="C110" s="2">
        <v>109</v>
      </c>
      <c r="D110" s="10">
        <v>45217</v>
      </c>
      <c r="E110" s="2" t="s">
        <v>129</v>
      </c>
      <c r="F110" s="2" t="s">
        <v>20</v>
      </c>
      <c r="G110" s="2">
        <v>34</v>
      </c>
      <c r="H110" s="2" t="s">
        <v>23</v>
      </c>
      <c r="I110" s="2">
        <v>4</v>
      </c>
      <c r="J110" s="2">
        <v>500</v>
      </c>
      <c r="K110" s="2">
        <v>2000</v>
      </c>
      <c r="M110" s="2">
        <v>2000</v>
      </c>
      <c r="N110" t="str" cm="1">
        <f t="array" ref="N110">IF(M110=Table5[[#This Row],[Total Amount]],"Correct",Check)</f>
        <v>Correct</v>
      </c>
    </row>
    <row r="111" spans="3:14" x14ac:dyDescent="0.25">
      <c r="C111" s="2">
        <v>110</v>
      </c>
      <c r="D111" s="10">
        <v>45088</v>
      </c>
      <c r="E111" s="2" t="s">
        <v>130</v>
      </c>
      <c r="F111" s="2" t="s">
        <v>17</v>
      </c>
      <c r="G111" s="2">
        <v>27</v>
      </c>
      <c r="H111" s="2" t="s">
        <v>21</v>
      </c>
      <c r="I111" s="2">
        <v>3</v>
      </c>
      <c r="J111" s="2">
        <v>300</v>
      </c>
      <c r="K111" s="2">
        <v>900</v>
      </c>
      <c r="M111" s="2">
        <v>900</v>
      </c>
      <c r="N111" t="str" cm="1">
        <f t="array" ref="N111">IF(M111=Table5[[#This Row],[Total Amount]],"Correct",Check)</f>
        <v>Correct</v>
      </c>
    </row>
    <row r="112" spans="3:14" x14ac:dyDescent="0.25">
      <c r="C112" s="2">
        <v>111</v>
      </c>
      <c r="D112" s="10">
        <v>45035</v>
      </c>
      <c r="E112" s="2" t="s">
        <v>131</v>
      </c>
      <c r="F112" s="2" t="s">
        <v>20</v>
      </c>
      <c r="G112" s="2">
        <v>34</v>
      </c>
      <c r="H112" s="2" t="s">
        <v>23</v>
      </c>
      <c r="I112" s="2">
        <v>3</v>
      </c>
      <c r="J112" s="2">
        <v>500</v>
      </c>
      <c r="K112" s="2">
        <v>1500</v>
      </c>
      <c r="M112" s="2">
        <v>1500</v>
      </c>
      <c r="N112" t="str" cm="1">
        <f t="array" ref="N112">IF(M112=Table5[[#This Row],[Total Amount]],"Correct",Check)</f>
        <v>Correct</v>
      </c>
    </row>
    <row r="113" spans="3:14" x14ac:dyDescent="0.25">
      <c r="C113" s="2">
        <v>112</v>
      </c>
      <c r="D113" s="10">
        <v>45262</v>
      </c>
      <c r="E113" s="2" t="s">
        <v>132</v>
      </c>
      <c r="F113" s="2" t="s">
        <v>17</v>
      </c>
      <c r="G113" s="2">
        <v>37</v>
      </c>
      <c r="H113" s="2" t="s">
        <v>21</v>
      </c>
      <c r="I113" s="2">
        <v>3</v>
      </c>
      <c r="J113" s="2">
        <v>500</v>
      </c>
      <c r="K113" s="2">
        <v>1500</v>
      </c>
      <c r="M113" s="2">
        <v>1500</v>
      </c>
      <c r="N113" t="str" cm="1">
        <f t="array" ref="N113">IF(M113=Table5[[#This Row],[Total Amount]],"Correct",Check)</f>
        <v>Correct</v>
      </c>
    </row>
    <row r="114" spans="3:14" x14ac:dyDescent="0.25">
      <c r="C114" s="2">
        <v>113</v>
      </c>
      <c r="D114" s="10">
        <v>45182</v>
      </c>
      <c r="E114" s="2" t="s">
        <v>133</v>
      </c>
      <c r="F114" s="2" t="s">
        <v>20</v>
      </c>
      <c r="G114" s="2">
        <v>41</v>
      </c>
      <c r="H114" s="2" t="s">
        <v>23</v>
      </c>
      <c r="I114" s="2">
        <v>2</v>
      </c>
      <c r="J114" s="2">
        <v>25</v>
      </c>
      <c r="K114" s="2">
        <v>50</v>
      </c>
      <c r="M114" s="2">
        <v>50</v>
      </c>
      <c r="N114" t="str" cm="1">
        <f t="array" ref="N114">IF(M114=Table5[[#This Row],[Total Amount]],"Correct",Check)</f>
        <v>Correct</v>
      </c>
    </row>
    <row r="115" spans="3:14" x14ac:dyDescent="0.25">
      <c r="C115" s="2">
        <v>114</v>
      </c>
      <c r="D115" s="10">
        <v>45129</v>
      </c>
      <c r="E115" s="2" t="s">
        <v>134</v>
      </c>
      <c r="F115" s="2" t="s">
        <v>20</v>
      </c>
      <c r="G115" s="2">
        <v>22</v>
      </c>
      <c r="H115" s="2" t="s">
        <v>18</v>
      </c>
      <c r="I115" s="2">
        <v>4</v>
      </c>
      <c r="J115" s="2">
        <v>25</v>
      </c>
      <c r="K115" s="2">
        <v>100</v>
      </c>
      <c r="M115" s="2">
        <v>100</v>
      </c>
      <c r="N115" t="str" cm="1">
        <f t="array" ref="N115">IF(M115=Table5[[#This Row],[Total Amount]],"Correct",Check)</f>
        <v>Correct</v>
      </c>
    </row>
    <row r="116" spans="3:14" x14ac:dyDescent="0.25">
      <c r="C116" s="2">
        <v>115</v>
      </c>
      <c r="D116" s="10">
        <v>45256</v>
      </c>
      <c r="E116" s="2" t="s">
        <v>135</v>
      </c>
      <c r="F116" s="2" t="s">
        <v>17</v>
      </c>
      <c r="G116" s="2">
        <v>51</v>
      </c>
      <c r="H116" s="2" t="s">
        <v>21</v>
      </c>
      <c r="I116" s="2">
        <v>3</v>
      </c>
      <c r="J116" s="2">
        <v>500</v>
      </c>
      <c r="K116" s="2">
        <v>1500</v>
      </c>
      <c r="M116" s="2">
        <v>1500</v>
      </c>
      <c r="N116" t="str" cm="1">
        <f t="array" ref="N116">IF(M116=Table5[[#This Row],[Total Amount]],"Correct",Check)</f>
        <v>Correct</v>
      </c>
    </row>
    <row r="117" spans="3:14" x14ac:dyDescent="0.25">
      <c r="C117" s="2">
        <v>116</v>
      </c>
      <c r="D117" s="10">
        <v>45161</v>
      </c>
      <c r="E117" s="2" t="s">
        <v>136</v>
      </c>
      <c r="F117" s="2" t="s">
        <v>20</v>
      </c>
      <c r="G117" s="2">
        <v>23</v>
      </c>
      <c r="H117" s="2" t="s">
        <v>21</v>
      </c>
      <c r="I117" s="2">
        <v>1</v>
      </c>
      <c r="J117" s="2">
        <v>30</v>
      </c>
      <c r="K117" s="2">
        <v>30</v>
      </c>
      <c r="M117" s="2">
        <v>30</v>
      </c>
      <c r="N117" t="str" cm="1">
        <f t="array" ref="N117">IF(M117=Table5[[#This Row],[Total Amount]],"Correct",Check)</f>
        <v>Correct</v>
      </c>
    </row>
    <row r="118" spans="3:14" x14ac:dyDescent="0.25">
      <c r="C118" s="2">
        <v>117</v>
      </c>
      <c r="D118" s="10">
        <v>45000</v>
      </c>
      <c r="E118" s="2" t="s">
        <v>137</v>
      </c>
      <c r="F118" s="2" t="s">
        <v>17</v>
      </c>
      <c r="G118" s="2">
        <v>19</v>
      </c>
      <c r="H118" s="2" t="s">
        <v>23</v>
      </c>
      <c r="I118" s="2">
        <v>2</v>
      </c>
      <c r="J118" s="2">
        <v>500</v>
      </c>
      <c r="K118" s="2">
        <v>1000</v>
      </c>
      <c r="M118" s="2">
        <v>1000</v>
      </c>
      <c r="N118" t="str" cm="1">
        <f t="array" ref="N118">IF(M118=Table5[[#This Row],[Total Amount]],"Correct",Check)</f>
        <v>Correct</v>
      </c>
    </row>
    <row r="119" spans="3:14" x14ac:dyDescent="0.25">
      <c r="C119" s="2">
        <v>118</v>
      </c>
      <c r="D119" s="10">
        <v>45062</v>
      </c>
      <c r="E119" s="2" t="s">
        <v>138</v>
      </c>
      <c r="F119" s="2" t="s">
        <v>20</v>
      </c>
      <c r="G119" s="2">
        <v>30</v>
      </c>
      <c r="H119" s="2" t="s">
        <v>23</v>
      </c>
      <c r="I119" s="2">
        <v>4</v>
      </c>
      <c r="J119" s="2">
        <v>500</v>
      </c>
      <c r="K119" s="2">
        <v>2000</v>
      </c>
      <c r="M119" s="2">
        <v>2000</v>
      </c>
      <c r="N119" t="str" cm="1">
        <f t="array" ref="N119">IF(M119=Table5[[#This Row],[Total Amount]],"Correct",Check)</f>
        <v>Correct</v>
      </c>
    </row>
    <row r="120" spans="3:14" x14ac:dyDescent="0.25">
      <c r="C120" s="2">
        <v>119</v>
      </c>
      <c r="D120" s="10">
        <v>44998</v>
      </c>
      <c r="E120" s="2" t="s">
        <v>139</v>
      </c>
      <c r="F120" s="2" t="s">
        <v>20</v>
      </c>
      <c r="G120" s="2">
        <v>60</v>
      </c>
      <c r="H120" s="2" t="s">
        <v>21</v>
      </c>
      <c r="I120" s="2">
        <v>3</v>
      </c>
      <c r="J120" s="2">
        <v>50</v>
      </c>
      <c r="K120" s="2">
        <v>150</v>
      </c>
      <c r="M120" s="2">
        <v>150</v>
      </c>
      <c r="N120" t="str" cm="1">
        <f t="array" ref="N120">IF(M120=Table5[[#This Row],[Total Amount]],"Correct",Check)</f>
        <v>Correct</v>
      </c>
    </row>
    <row r="121" spans="3:14" x14ac:dyDescent="0.25">
      <c r="C121" s="2">
        <v>120</v>
      </c>
      <c r="D121" s="10">
        <v>45053</v>
      </c>
      <c r="E121" s="2" t="s">
        <v>140</v>
      </c>
      <c r="F121" s="2" t="s">
        <v>17</v>
      </c>
      <c r="G121" s="2">
        <v>60</v>
      </c>
      <c r="H121" s="2" t="s">
        <v>18</v>
      </c>
      <c r="I121" s="2">
        <v>1</v>
      </c>
      <c r="J121" s="2">
        <v>50</v>
      </c>
      <c r="K121" s="2">
        <v>50</v>
      </c>
      <c r="M121" s="2">
        <v>50</v>
      </c>
      <c r="N121" t="str" cm="1">
        <f t="array" ref="N121">IF(M121=Table5[[#This Row],[Total Amount]],"Correct",Check)</f>
        <v>Correct</v>
      </c>
    </row>
    <row r="122" spans="3:14" x14ac:dyDescent="0.25">
      <c r="C122" s="2">
        <v>121</v>
      </c>
      <c r="D122" s="10">
        <v>45214</v>
      </c>
      <c r="E122" s="2" t="s">
        <v>141</v>
      </c>
      <c r="F122" s="2" t="s">
        <v>20</v>
      </c>
      <c r="G122" s="2">
        <v>28</v>
      </c>
      <c r="H122" s="2" t="s">
        <v>23</v>
      </c>
      <c r="I122" s="2">
        <v>4</v>
      </c>
      <c r="J122" s="2">
        <v>50</v>
      </c>
      <c r="K122" s="2">
        <v>200</v>
      </c>
      <c r="M122" s="2">
        <v>200</v>
      </c>
      <c r="N122" t="str" cm="1">
        <f t="array" ref="N122">IF(M122=Table5[[#This Row],[Total Amount]],"Correct",Check)</f>
        <v>Correct</v>
      </c>
    </row>
    <row r="123" spans="3:14" x14ac:dyDescent="0.25">
      <c r="C123" s="2">
        <v>122</v>
      </c>
      <c r="D123" s="10">
        <v>45202</v>
      </c>
      <c r="E123" s="2" t="s">
        <v>142</v>
      </c>
      <c r="F123" s="2" t="s">
        <v>17</v>
      </c>
      <c r="G123" s="2">
        <v>64</v>
      </c>
      <c r="H123" s="2" t="s">
        <v>23</v>
      </c>
      <c r="I123" s="2">
        <v>4</v>
      </c>
      <c r="J123" s="2">
        <v>30</v>
      </c>
      <c r="K123" s="2">
        <v>120</v>
      </c>
      <c r="M123" s="2">
        <v>120</v>
      </c>
      <c r="N123" t="str" cm="1">
        <f t="array" ref="N123">IF(M123=Table5[[#This Row],[Total Amount]],"Correct",Check)</f>
        <v>Correct</v>
      </c>
    </row>
    <row r="124" spans="3:14" x14ac:dyDescent="0.25">
      <c r="C124" s="2">
        <v>123</v>
      </c>
      <c r="D124" s="10">
        <v>45061</v>
      </c>
      <c r="E124" s="2" t="s">
        <v>143</v>
      </c>
      <c r="F124" s="2" t="s">
        <v>20</v>
      </c>
      <c r="G124" s="2">
        <v>40</v>
      </c>
      <c r="H124" s="2" t="s">
        <v>23</v>
      </c>
      <c r="I124" s="2">
        <v>2</v>
      </c>
      <c r="J124" s="2">
        <v>30</v>
      </c>
      <c r="K124" s="2">
        <v>60</v>
      </c>
      <c r="M124" s="2">
        <v>60</v>
      </c>
      <c r="N124" t="str" cm="1">
        <f t="array" ref="N124">IF(M124=Table5[[#This Row],[Total Amount]],"Correct",Check)</f>
        <v>Correct</v>
      </c>
    </row>
    <row r="125" spans="3:14" x14ac:dyDescent="0.25">
      <c r="C125" s="2">
        <v>124</v>
      </c>
      <c r="D125" s="10">
        <v>45226</v>
      </c>
      <c r="E125" s="2" t="s">
        <v>144</v>
      </c>
      <c r="F125" s="2" t="s">
        <v>17</v>
      </c>
      <c r="G125" s="2">
        <v>33</v>
      </c>
      <c r="H125" s="2" t="s">
        <v>21</v>
      </c>
      <c r="I125" s="2">
        <v>4</v>
      </c>
      <c r="J125" s="2">
        <v>500</v>
      </c>
      <c r="K125" s="2">
        <v>2000</v>
      </c>
      <c r="M125" s="2">
        <v>2000</v>
      </c>
      <c r="N125" t="str" cm="1">
        <f t="array" ref="N125">IF(M125=Table5[[#This Row],[Total Amount]],"Correct",Check)</f>
        <v>Correct</v>
      </c>
    </row>
    <row r="126" spans="3:14" x14ac:dyDescent="0.25">
      <c r="C126" s="2">
        <v>125</v>
      </c>
      <c r="D126" s="10">
        <v>45146</v>
      </c>
      <c r="E126" s="2" t="s">
        <v>145</v>
      </c>
      <c r="F126" s="2" t="s">
        <v>17</v>
      </c>
      <c r="G126" s="2">
        <v>48</v>
      </c>
      <c r="H126" s="2" t="s">
        <v>21</v>
      </c>
      <c r="I126" s="2">
        <v>2</v>
      </c>
      <c r="J126" s="2">
        <v>50</v>
      </c>
      <c r="K126" s="2">
        <v>100</v>
      </c>
      <c r="M126" s="2">
        <v>100</v>
      </c>
      <c r="N126" t="str" cm="1">
        <f t="array" ref="N126">IF(M126=Table5[[#This Row],[Total Amount]],"Correct",Check)</f>
        <v>Correct</v>
      </c>
    </row>
    <row r="127" spans="3:14" x14ac:dyDescent="0.25">
      <c r="C127" s="2">
        <v>126</v>
      </c>
      <c r="D127" s="10">
        <v>45225</v>
      </c>
      <c r="E127" s="2" t="s">
        <v>146</v>
      </c>
      <c r="F127" s="2" t="s">
        <v>20</v>
      </c>
      <c r="G127" s="2">
        <v>28</v>
      </c>
      <c r="H127" s="2" t="s">
        <v>21</v>
      </c>
      <c r="I127" s="2">
        <v>3</v>
      </c>
      <c r="J127" s="2">
        <v>30</v>
      </c>
      <c r="K127" s="2">
        <v>90</v>
      </c>
      <c r="M127" s="2">
        <v>90</v>
      </c>
      <c r="N127" t="str" cm="1">
        <f t="array" ref="N127">IF(M127=Table5[[#This Row],[Total Amount]],"Correct",Check)</f>
        <v>Correct</v>
      </c>
    </row>
    <row r="128" spans="3:14" x14ac:dyDescent="0.25">
      <c r="C128" s="2">
        <v>127</v>
      </c>
      <c r="D128" s="10">
        <v>45131</v>
      </c>
      <c r="E128" s="2" t="s">
        <v>147</v>
      </c>
      <c r="F128" s="2" t="s">
        <v>20</v>
      </c>
      <c r="G128" s="2">
        <v>33</v>
      </c>
      <c r="H128" s="2" t="s">
        <v>21</v>
      </c>
      <c r="I128" s="2">
        <v>2</v>
      </c>
      <c r="J128" s="2">
        <v>25</v>
      </c>
      <c r="K128" s="2">
        <v>50</v>
      </c>
      <c r="M128" s="2">
        <v>50</v>
      </c>
      <c r="N128" t="str" cm="1">
        <f t="array" ref="N128">IF(M128=Table5[[#This Row],[Total Amount]],"Correct",Check)</f>
        <v>Correct</v>
      </c>
    </row>
    <row r="129" spans="3:14" x14ac:dyDescent="0.25">
      <c r="C129" s="2">
        <v>128</v>
      </c>
      <c r="D129" s="10">
        <v>45112</v>
      </c>
      <c r="E129" s="2" t="s">
        <v>148</v>
      </c>
      <c r="F129" s="2" t="s">
        <v>17</v>
      </c>
      <c r="G129" s="2">
        <v>25</v>
      </c>
      <c r="H129" s="2" t="s">
        <v>18</v>
      </c>
      <c r="I129" s="2">
        <v>1</v>
      </c>
      <c r="J129" s="2">
        <v>500</v>
      </c>
      <c r="K129" s="2">
        <v>500</v>
      </c>
      <c r="M129" s="2">
        <v>500</v>
      </c>
      <c r="N129" t="str" cm="1">
        <f t="array" ref="N129">IF(M129=Table5[[#This Row],[Total Amount]],"Correct",Check)</f>
        <v>Correct</v>
      </c>
    </row>
    <row r="130" spans="3:14" x14ac:dyDescent="0.25">
      <c r="C130" s="2">
        <v>129</v>
      </c>
      <c r="D130" s="10">
        <v>45039</v>
      </c>
      <c r="E130" s="2" t="s">
        <v>149</v>
      </c>
      <c r="F130" s="2" t="s">
        <v>20</v>
      </c>
      <c r="G130" s="2">
        <v>21</v>
      </c>
      <c r="H130" s="2" t="s">
        <v>18</v>
      </c>
      <c r="I130" s="2">
        <v>2</v>
      </c>
      <c r="J130" s="2">
        <v>300</v>
      </c>
      <c r="K130" s="2">
        <v>600</v>
      </c>
      <c r="M130" s="2">
        <v>600</v>
      </c>
      <c r="N130" t="str" cm="1">
        <f t="array" ref="N130">IF(M130=Table5[[#This Row],[Total Amount]],"Correct",Check)</f>
        <v>Correct</v>
      </c>
    </row>
    <row r="131" spans="3:14" x14ac:dyDescent="0.25">
      <c r="C131" s="2">
        <v>130</v>
      </c>
      <c r="D131" s="10">
        <v>44997</v>
      </c>
      <c r="E131" s="2" t="s">
        <v>150</v>
      </c>
      <c r="F131" s="2" t="s">
        <v>20</v>
      </c>
      <c r="G131" s="2">
        <v>57</v>
      </c>
      <c r="H131" s="2" t="s">
        <v>21</v>
      </c>
      <c r="I131" s="2">
        <v>1</v>
      </c>
      <c r="J131" s="2">
        <v>500</v>
      </c>
      <c r="K131" s="2">
        <v>500</v>
      </c>
      <c r="M131" s="2">
        <v>500</v>
      </c>
      <c r="N131" t="str" cm="1">
        <f t="array" ref="N131">IF(M131=Table5[[#This Row],[Total Amount]],"Correct",Check)</f>
        <v>Correct</v>
      </c>
    </row>
    <row r="132" spans="3:14" x14ac:dyDescent="0.25">
      <c r="C132" s="2">
        <v>131</v>
      </c>
      <c r="D132" s="10">
        <v>45187</v>
      </c>
      <c r="E132" s="2" t="s">
        <v>151</v>
      </c>
      <c r="F132" s="2" t="s">
        <v>20</v>
      </c>
      <c r="G132" s="2">
        <v>21</v>
      </c>
      <c r="H132" s="2" t="s">
        <v>18</v>
      </c>
      <c r="I132" s="2">
        <v>2</v>
      </c>
      <c r="J132" s="2">
        <v>300</v>
      </c>
      <c r="K132" s="2">
        <v>600</v>
      </c>
      <c r="M132" s="2">
        <v>600</v>
      </c>
      <c r="N132" t="str" cm="1">
        <f t="array" ref="N132">IF(M132=Table5[[#This Row],[Total Amount]],"Correct",Check)</f>
        <v>Correct</v>
      </c>
    </row>
    <row r="133" spans="3:14" x14ac:dyDescent="0.25">
      <c r="C133" s="2">
        <v>132</v>
      </c>
      <c r="D133" s="10">
        <v>45179</v>
      </c>
      <c r="E133" s="2" t="s">
        <v>152</v>
      </c>
      <c r="F133" s="2" t="s">
        <v>17</v>
      </c>
      <c r="G133" s="2">
        <v>42</v>
      </c>
      <c r="H133" s="2" t="s">
        <v>23</v>
      </c>
      <c r="I133" s="2">
        <v>4</v>
      </c>
      <c r="J133" s="2">
        <v>50</v>
      </c>
      <c r="K133" s="2">
        <v>200</v>
      </c>
      <c r="M133" s="2">
        <v>200</v>
      </c>
      <c r="N133" t="str" cm="1">
        <f t="array" ref="N133">IF(M133=Table5[[#This Row],[Total Amount]],"Correct",Check)</f>
        <v>Correct</v>
      </c>
    </row>
    <row r="134" spans="3:14" x14ac:dyDescent="0.25">
      <c r="C134" s="2">
        <v>133</v>
      </c>
      <c r="D134" s="10">
        <v>44973</v>
      </c>
      <c r="E134" s="2" t="s">
        <v>153</v>
      </c>
      <c r="F134" s="2" t="s">
        <v>17</v>
      </c>
      <c r="G134" s="2">
        <v>20</v>
      </c>
      <c r="H134" s="2" t="s">
        <v>23</v>
      </c>
      <c r="I134" s="2">
        <v>3</v>
      </c>
      <c r="J134" s="2">
        <v>300</v>
      </c>
      <c r="K134" s="2">
        <v>900</v>
      </c>
      <c r="M134" s="2">
        <v>900</v>
      </c>
      <c r="N134" t="str" cm="1">
        <f t="array" ref="N134">IF(M134=Table5[[#This Row],[Total Amount]],"Correct",Check)</f>
        <v>Correct</v>
      </c>
    </row>
    <row r="135" spans="3:14" x14ac:dyDescent="0.25">
      <c r="C135" s="2">
        <v>134</v>
      </c>
      <c r="D135" s="10">
        <v>44951</v>
      </c>
      <c r="E135" s="2" t="s">
        <v>154</v>
      </c>
      <c r="F135" s="2" t="s">
        <v>17</v>
      </c>
      <c r="G135" s="2">
        <v>49</v>
      </c>
      <c r="H135" s="2" t="s">
        <v>23</v>
      </c>
      <c r="I135" s="2">
        <v>1</v>
      </c>
      <c r="J135" s="2">
        <v>50</v>
      </c>
      <c r="K135" s="2">
        <v>50</v>
      </c>
      <c r="M135" s="2">
        <v>50</v>
      </c>
      <c r="N135" t="str" cm="1">
        <f t="array" ref="N135">IF(M135=Table5[[#This Row],[Total Amount]],"Correct",Check)</f>
        <v>Correct</v>
      </c>
    </row>
    <row r="136" spans="3:14" x14ac:dyDescent="0.25">
      <c r="C136" s="2">
        <v>135</v>
      </c>
      <c r="D136" s="10">
        <v>44983</v>
      </c>
      <c r="E136" s="2" t="s">
        <v>155</v>
      </c>
      <c r="F136" s="2" t="s">
        <v>17</v>
      </c>
      <c r="G136" s="2">
        <v>20</v>
      </c>
      <c r="H136" s="2" t="s">
        <v>21</v>
      </c>
      <c r="I136" s="2">
        <v>2</v>
      </c>
      <c r="J136" s="2">
        <v>25</v>
      </c>
      <c r="K136" s="2">
        <v>50</v>
      </c>
      <c r="M136" s="2">
        <v>50</v>
      </c>
      <c r="N136" t="str" cm="1">
        <f t="array" ref="N136">IF(M136=Table5[[#This Row],[Total Amount]],"Correct",Check)</f>
        <v>Correct</v>
      </c>
    </row>
    <row r="137" spans="3:14" x14ac:dyDescent="0.25">
      <c r="C137" s="2">
        <v>136</v>
      </c>
      <c r="D137" s="10">
        <v>45005</v>
      </c>
      <c r="E137" s="2" t="s">
        <v>156</v>
      </c>
      <c r="F137" s="2" t="s">
        <v>17</v>
      </c>
      <c r="G137" s="2">
        <v>44</v>
      </c>
      <c r="H137" s="2" t="s">
        <v>23</v>
      </c>
      <c r="I137" s="2">
        <v>2</v>
      </c>
      <c r="J137" s="2">
        <v>300</v>
      </c>
      <c r="K137" s="2">
        <v>600</v>
      </c>
      <c r="M137" s="2">
        <v>600</v>
      </c>
      <c r="N137" t="str" cm="1">
        <f t="array" ref="N137">IF(M137=Table5[[#This Row],[Total Amount]],"Correct",Check)</f>
        <v>Correct</v>
      </c>
    </row>
    <row r="138" spans="3:14" x14ac:dyDescent="0.25">
      <c r="C138" s="2">
        <v>137</v>
      </c>
      <c r="D138" s="10">
        <v>45248</v>
      </c>
      <c r="E138" s="2" t="s">
        <v>157</v>
      </c>
      <c r="F138" s="2" t="s">
        <v>17</v>
      </c>
      <c r="G138" s="2">
        <v>46</v>
      </c>
      <c r="H138" s="2" t="s">
        <v>18</v>
      </c>
      <c r="I138" s="2">
        <v>2</v>
      </c>
      <c r="J138" s="2">
        <v>500</v>
      </c>
      <c r="K138" s="2">
        <v>1000</v>
      </c>
      <c r="M138" s="2">
        <v>1000</v>
      </c>
      <c r="N138" t="str" cm="1">
        <f t="array" ref="N138">IF(M138=Table5[[#This Row],[Total Amount]],"Correct",Check)</f>
        <v>Correct</v>
      </c>
    </row>
    <row r="139" spans="3:14" x14ac:dyDescent="0.25">
      <c r="C139" s="2">
        <v>138</v>
      </c>
      <c r="D139" s="10">
        <v>45008</v>
      </c>
      <c r="E139" s="2" t="s">
        <v>158</v>
      </c>
      <c r="F139" s="2" t="s">
        <v>17</v>
      </c>
      <c r="G139" s="2">
        <v>49</v>
      </c>
      <c r="H139" s="2" t="s">
        <v>21</v>
      </c>
      <c r="I139" s="2">
        <v>4</v>
      </c>
      <c r="J139" s="2">
        <v>50</v>
      </c>
      <c r="K139" s="2">
        <v>200</v>
      </c>
      <c r="M139" s="2">
        <v>200</v>
      </c>
      <c r="N139" t="str" cm="1">
        <f t="array" ref="N139">IF(M139=Table5[[#This Row],[Total Amount]],"Correct",Check)</f>
        <v>Correct</v>
      </c>
    </row>
    <row r="140" spans="3:14" x14ac:dyDescent="0.25">
      <c r="C140" s="2">
        <v>139</v>
      </c>
      <c r="D140" s="10">
        <v>45275</v>
      </c>
      <c r="E140" s="2" t="s">
        <v>159</v>
      </c>
      <c r="F140" s="2" t="s">
        <v>17</v>
      </c>
      <c r="G140" s="2">
        <v>36</v>
      </c>
      <c r="H140" s="2" t="s">
        <v>18</v>
      </c>
      <c r="I140" s="2">
        <v>4</v>
      </c>
      <c r="J140" s="2">
        <v>500</v>
      </c>
      <c r="K140" s="2">
        <v>2000</v>
      </c>
      <c r="M140" s="2">
        <v>2000</v>
      </c>
      <c r="N140" t="str" cm="1">
        <f t="array" ref="N140">IF(M140=Table5[[#This Row],[Total Amount]],"Correct",Check)</f>
        <v>Correct</v>
      </c>
    </row>
    <row r="141" spans="3:14" x14ac:dyDescent="0.25">
      <c r="C141" s="2">
        <v>140</v>
      </c>
      <c r="D141" s="10">
        <v>45143</v>
      </c>
      <c r="E141" s="2" t="s">
        <v>160</v>
      </c>
      <c r="F141" s="2" t="s">
        <v>17</v>
      </c>
      <c r="G141" s="2">
        <v>38</v>
      </c>
      <c r="H141" s="2" t="s">
        <v>23</v>
      </c>
      <c r="I141" s="2">
        <v>1</v>
      </c>
      <c r="J141" s="2">
        <v>30</v>
      </c>
      <c r="K141" s="2">
        <v>30</v>
      </c>
      <c r="M141" s="2">
        <v>30</v>
      </c>
      <c r="N141" t="str" cm="1">
        <f t="array" ref="N141">IF(M141=Table5[[#This Row],[Total Amount]],"Correct",Check)</f>
        <v>Correct</v>
      </c>
    </row>
    <row r="142" spans="3:14" x14ac:dyDescent="0.25">
      <c r="C142" s="2">
        <v>141</v>
      </c>
      <c r="D142" s="10">
        <v>45232</v>
      </c>
      <c r="E142" s="2" t="s">
        <v>161</v>
      </c>
      <c r="F142" s="2" t="s">
        <v>20</v>
      </c>
      <c r="G142" s="2">
        <v>22</v>
      </c>
      <c r="H142" s="2" t="s">
        <v>23</v>
      </c>
      <c r="I142" s="2">
        <v>1</v>
      </c>
      <c r="J142" s="2">
        <v>50</v>
      </c>
      <c r="K142" s="2">
        <v>50</v>
      </c>
      <c r="M142" s="2">
        <v>50</v>
      </c>
      <c r="N142" t="str" cm="1">
        <f t="array" ref="N142">IF(M142=Table5[[#This Row],[Total Amount]],"Correct",Check)</f>
        <v>Correct</v>
      </c>
    </row>
    <row r="143" spans="3:14" x14ac:dyDescent="0.25">
      <c r="C143" s="2">
        <v>142</v>
      </c>
      <c r="D143" s="10">
        <v>44959</v>
      </c>
      <c r="E143" s="2" t="s">
        <v>162</v>
      </c>
      <c r="F143" s="2" t="s">
        <v>17</v>
      </c>
      <c r="G143" s="2">
        <v>35</v>
      </c>
      <c r="H143" s="2" t="s">
        <v>23</v>
      </c>
      <c r="I143" s="2">
        <v>4</v>
      </c>
      <c r="J143" s="2">
        <v>300</v>
      </c>
      <c r="K143" s="2">
        <v>1200</v>
      </c>
      <c r="M143" s="2">
        <v>1200</v>
      </c>
      <c r="N143" t="str" cm="1">
        <f t="array" ref="N143">IF(M143=Table5[[#This Row],[Total Amount]],"Correct",Check)</f>
        <v>Correct</v>
      </c>
    </row>
    <row r="144" spans="3:14" x14ac:dyDescent="0.25">
      <c r="C144" s="2">
        <v>143</v>
      </c>
      <c r="D144" s="10">
        <v>45124</v>
      </c>
      <c r="E144" s="2" t="s">
        <v>163</v>
      </c>
      <c r="F144" s="2" t="s">
        <v>20</v>
      </c>
      <c r="G144" s="2">
        <v>45</v>
      </c>
      <c r="H144" s="2" t="s">
        <v>21</v>
      </c>
      <c r="I144" s="2">
        <v>1</v>
      </c>
      <c r="J144" s="2">
        <v>50</v>
      </c>
      <c r="K144" s="2">
        <v>50</v>
      </c>
      <c r="M144" s="2">
        <v>50</v>
      </c>
      <c r="N144" t="str" cm="1">
        <f t="array" ref="N144">IF(M144=Table5[[#This Row],[Total Amount]],"Correct",Check)</f>
        <v>Correct</v>
      </c>
    </row>
    <row r="145" spans="3:14" x14ac:dyDescent="0.25">
      <c r="C145" s="2">
        <v>144</v>
      </c>
      <c r="D145" s="10">
        <v>45122</v>
      </c>
      <c r="E145" s="2" t="s">
        <v>164</v>
      </c>
      <c r="F145" s="2" t="s">
        <v>20</v>
      </c>
      <c r="G145" s="2">
        <v>59</v>
      </c>
      <c r="H145" s="2" t="s">
        <v>18</v>
      </c>
      <c r="I145" s="2">
        <v>3</v>
      </c>
      <c r="J145" s="2">
        <v>500</v>
      </c>
      <c r="K145" s="2">
        <v>1500</v>
      </c>
      <c r="M145" s="2">
        <v>1500</v>
      </c>
      <c r="N145" t="str" cm="1">
        <f t="array" ref="N145">IF(M145=Table5[[#This Row],[Total Amount]],"Correct",Check)</f>
        <v>Correct</v>
      </c>
    </row>
    <row r="146" spans="3:14" x14ac:dyDescent="0.25">
      <c r="C146" s="2">
        <v>145</v>
      </c>
      <c r="D146" s="10">
        <v>45232</v>
      </c>
      <c r="E146" s="2" t="s">
        <v>165</v>
      </c>
      <c r="F146" s="2" t="s">
        <v>20</v>
      </c>
      <c r="G146" s="2">
        <v>39</v>
      </c>
      <c r="H146" s="2" t="s">
        <v>21</v>
      </c>
      <c r="I146" s="2">
        <v>3</v>
      </c>
      <c r="J146" s="2">
        <v>25</v>
      </c>
      <c r="K146" s="2">
        <v>75</v>
      </c>
      <c r="M146" s="2">
        <v>75</v>
      </c>
      <c r="N146" t="str" cm="1">
        <f t="array" ref="N146">IF(M146=Table5[[#This Row],[Total Amount]],"Correct",Check)</f>
        <v>Correct</v>
      </c>
    </row>
    <row r="147" spans="3:14" x14ac:dyDescent="0.25">
      <c r="C147" s="2">
        <v>146</v>
      </c>
      <c r="D147" s="10">
        <v>45166</v>
      </c>
      <c r="E147" s="2" t="s">
        <v>166</v>
      </c>
      <c r="F147" s="2" t="s">
        <v>17</v>
      </c>
      <c r="G147" s="2">
        <v>38</v>
      </c>
      <c r="H147" s="2" t="s">
        <v>21</v>
      </c>
      <c r="I147" s="2">
        <v>4</v>
      </c>
      <c r="J147" s="2">
        <v>50</v>
      </c>
      <c r="K147" s="2">
        <v>200</v>
      </c>
      <c r="M147" s="2">
        <v>200</v>
      </c>
      <c r="N147" t="str" cm="1">
        <f t="array" ref="N147">IF(M147=Table5[[#This Row],[Total Amount]],"Correct",Check)</f>
        <v>Correct</v>
      </c>
    </row>
    <row r="148" spans="3:14" x14ac:dyDescent="0.25">
      <c r="C148" s="2">
        <v>147</v>
      </c>
      <c r="D148" s="10">
        <v>45197</v>
      </c>
      <c r="E148" s="2" t="s">
        <v>167</v>
      </c>
      <c r="F148" s="2" t="s">
        <v>17</v>
      </c>
      <c r="G148" s="2">
        <v>23</v>
      </c>
      <c r="H148" s="2" t="s">
        <v>23</v>
      </c>
      <c r="I148" s="2">
        <v>1</v>
      </c>
      <c r="J148" s="2">
        <v>300</v>
      </c>
      <c r="K148" s="2">
        <v>300</v>
      </c>
      <c r="M148" s="2">
        <v>300</v>
      </c>
      <c r="N148" t="str" cm="1">
        <f t="array" ref="N148">IF(M148=Table5[[#This Row],[Total Amount]],"Correct",Check)</f>
        <v>Correct</v>
      </c>
    </row>
    <row r="149" spans="3:14" x14ac:dyDescent="0.25">
      <c r="C149" s="2">
        <v>148</v>
      </c>
      <c r="D149" s="10">
        <v>45055</v>
      </c>
      <c r="E149" s="2" t="s">
        <v>168</v>
      </c>
      <c r="F149" s="2" t="s">
        <v>17</v>
      </c>
      <c r="G149" s="2">
        <v>18</v>
      </c>
      <c r="H149" s="2" t="s">
        <v>21</v>
      </c>
      <c r="I149" s="2">
        <v>2</v>
      </c>
      <c r="J149" s="2">
        <v>30</v>
      </c>
      <c r="K149" s="2">
        <v>60</v>
      </c>
      <c r="M149" s="2">
        <v>60</v>
      </c>
      <c r="N149" t="str" cm="1">
        <f t="array" ref="N149">IF(M149=Table5[[#This Row],[Total Amount]],"Correct",Check)</f>
        <v>Correct</v>
      </c>
    </row>
    <row r="150" spans="3:14" x14ac:dyDescent="0.25">
      <c r="C150" s="2">
        <v>149</v>
      </c>
      <c r="D150" s="10">
        <v>45210</v>
      </c>
      <c r="E150" s="2" t="s">
        <v>169</v>
      </c>
      <c r="F150" s="2" t="s">
        <v>17</v>
      </c>
      <c r="G150" s="2">
        <v>22</v>
      </c>
      <c r="H150" s="2" t="s">
        <v>21</v>
      </c>
      <c r="I150" s="2">
        <v>3</v>
      </c>
      <c r="J150" s="2">
        <v>25</v>
      </c>
      <c r="K150" s="2">
        <v>75</v>
      </c>
      <c r="M150" s="2">
        <v>75</v>
      </c>
      <c r="N150" t="str" cm="1">
        <f t="array" ref="N150">IF(M150=Table5[[#This Row],[Total Amount]],"Correct",Check)</f>
        <v>Correct</v>
      </c>
    </row>
    <row r="151" spans="3:14" x14ac:dyDescent="0.25">
      <c r="C151" s="2">
        <v>150</v>
      </c>
      <c r="D151" s="10">
        <v>44932</v>
      </c>
      <c r="E151" s="2" t="s">
        <v>170</v>
      </c>
      <c r="F151" s="2" t="s">
        <v>20</v>
      </c>
      <c r="G151" s="2">
        <v>58</v>
      </c>
      <c r="H151" s="2" t="s">
        <v>23</v>
      </c>
      <c r="I151" s="2">
        <v>4</v>
      </c>
      <c r="J151" s="2">
        <v>30</v>
      </c>
      <c r="K151" s="2">
        <v>120</v>
      </c>
      <c r="M151" s="2">
        <v>120</v>
      </c>
      <c r="N151" t="str" cm="1">
        <f t="array" ref="N151">IF(M151=Table5[[#This Row],[Total Amount]],"Correct",Check)</f>
        <v>Correct</v>
      </c>
    </row>
    <row r="152" spans="3:14" x14ac:dyDescent="0.25">
      <c r="C152" s="2">
        <v>151</v>
      </c>
      <c r="D152" s="10">
        <v>45275</v>
      </c>
      <c r="E152" s="2" t="s">
        <v>171</v>
      </c>
      <c r="F152" s="2" t="s">
        <v>17</v>
      </c>
      <c r="G152" s="2">
        <v>29</v>
      </c>
      <c r="H152" s="2" t="s">
        <v>21</v>
      </c>
      <c r="I152" s="2">
        <v>1</v>
      </c>
      <c r="J152" s="2">
        <v>50</v>
      </c>
      <c r="K152" s="2">
        <v>50</v>
      </c>
      <c r="M152" s="2">
        <v>50</v>
      </c>
      <c r="N152" t="str" cm="1">
        <f t="array" ref="N152">IF(M152=Table5[[#This Row],[Total Amount]],"Correct",Check)</f>
        <v>Correct</v>
      </c>
    </row>
    <row r="153" spans="3:14" x14ac:dyDescent="0.25">
      <c r="C153" s="2">
        <v>152</v>
      </c>
      <c r="D153" s="10">
        <v>44985</v>
      </c>
      <c r="E153" s="2" t="s">
        <v>172</v>
      </c>
      <c r="F153" s="2" t="s">
        <v>17</v>
      </c>
      <c r="G153" s="2">
        <v>43</v>
      </c>
      <c r="H153" s="2" t="s">
        <v>23</v>
      </c>
      <c r="I153" s="2">
        <v>4</v>
      </c>
      <c r="J153" s="2">
        <v>500</v>
      </c>
      <c r="K153" s="2">
        <v>2000</v>
      </c>
      <c r="M153" s="2">
        <v>2000</v>
      </c>
      <c r="N153" t="str" cm="1">
        <f t="array" ref="N153">IF(M153=Table5[[#This Row],[Total Amount]],"Correct",Check)</f>
        <v>Correct</v>
      </c>
    </row>
    <row r="154" spans="3:14" x14ac:dyDescent="0.25">
      <c r="C154" s="2">
        <v>153</v>
      </c>
      <c r="D154" s="10">
        <v>45276</v>
      </c>
      <c r="E154" s="2" t="s">
        <v>173</v>
      </c>
      <c r="F154" s="2" t="s">
        <v>17</v>
      </c>
      <c r="G154" s="2">
        <v>63</v>
      </c>
      <c r="H154" s="2" t="s">
        <v>23</v>
      </c>
      <c r="I154" s="2">
        <v>2</v>
      </c>
      <c r="J154" s="2">
        <v>500</v>
      </c>
      <c r="K154" s="2">
        <v>1000</v>
      </c>
      <c r="M154" s="2">
        <v>1000</v>
      </c>
      <c r="N154" t="str" cm="1">
        <f t="array" ref="N154">IF(M154=Table5[[#This Row],[Total Amount]],"Correct",Check)</f>
        <v>Correct</v>
      </c>
    </row>
    <row r="155" spans="3:14" x14ac:dyDescent="0.25">
      <c r="C155" s="2">
        <v>154</v>
      </c>
      <c r="D155" s="10">
        <v>45201</v>
      </c>
      <c r="E155" s="2" t="s">
        <v>174</v>
      </c>
      <c r="F155" s="2" t="s">
        <v>17</v>
      </c>
      <c r="G155" s="2">
        <v>51</v>
      </c>
      <c r="H155" s="2" t="s">
        <v>23</v>
      </c>
      <c r="I155" s="2">
        <v>3</v>
      </c>
      <c r="J155" s="2">
        <v>300</v>
      </c>
      <c r="K155" s="2">
        <v>900</v>
      </c>
      <c r="M155" s="2">
        <v>900</v>
      </c>
      <c r="N155" t="str" cm="1">
        <f t="array" ref="N155">IF(M155=Table5[[#This Row],[Total Amount]],"Correct",Check)</f>
        <v>Correct</v>
      </c>
    </row>
    <row r="156" spans="3:14" x14ac:dyDescent="0.25">
      <c r="C156" s="2">
        <v>155</v>
      </c>
      <c r="D156" s="10">
        <v>45063</v>
      </c>
      <c r="E156" s="2" t="s">
        <v>175</v>
      </c>
      <c r="F156" s="2" t="s">
        <v>17</v>
      </c>
      <c r="G156" s="2">
        <v>31</v>
      </c>
      <c r="H156" s="2" t="s">
        <v>23</v>
      </c>
      <c r="I156" s="2">
        <v>4</v>
      </c>
      <c r="J156" s="2">
        <v>500</v>
      </c>
      <c r="K156" s="2">
        <v>2000</v>
      </c>
      <c r="M156" s="2">
        <v>2000</v>
      </c>
      <c r="N156" t="str" cm="1">
        <f t="array" ref="N156">IF(M156=Table5[[#This Row],[Total Amount]],"Correct",Check)</f>
        <v>Correct</v>
      </c>
    </row>
    <row r="157" spans="3:14" x14ac:dyDescent="0.25">
      <c r="C157" s="2">
        <v>156</v>
      </c>
      <c r="D157" s="10">
        <v>45255</v>
      </c>
      <c r="E157" s="2" t="s">
        <v>176</v>
      </c>
      <c r="F157" s="2" t="s">
        <v>20</v>
      </c>
      <c r="G157" s="2">
        <v>43</v>
      </c>
      <c r="H157" s="2" t="s">
        <v>21</v>
      </c>
      <c r="I157" s="2">
        <v>4</v>
      </c>
      <c r="J157" s="2">
        <v>25</v>
      </c>
      <c r="K157" s="2">
        <v>100</v>
      </c>
      <c r="M157" s="2">
        <v>100</v>
      </c>
      <c r="N157" t="str" cm="1">
        <f t="array" ref="N157">IF(M157=Table5[[#This Row],[Total Amount]],"Correct",Check)</f>
        <v>Correct</v>
      </c>
    </row>
    <row r="158" spans="3:14" x14ac:dyDescent="0.25">
      <c r="C158" s="2">
        <v>157</v>
      </c>
      <c r="D158" s="10">
        <v>45101</v>
      </c>
      <c r="E158" s="2" t="s">
        <v>177</v>
      </c>
      <c r="F158" s="2" t="s">
        <v>17</v>
      </c>
      <c r="G158" s="2">
        <v>62</v>
      </c>
      <c r="H158" s="2" t="s">
        <v>23</v>
      </c>
      <c r="I158" s="2">
        <v>4</v>
      </c>
      <c r="J158" s="2">
        <v>500</v>
      </c>
      <c r="K158" s="2">
        <v>2000</v>
      </c>
      <c r="M158" s="2">
        <v>2000</v>
      </c>
      <c r="N158" t="str" cm="1">
        <f t="array" ref="N158">IF(M158=Table5[[#This Row],[Total Amount]],"Correct",Check)</f>
        <v>Correct</v>
      </c>
    </row>
    <row r="159" spans="3:14" x14ac:dyDescent="0.25">
      <c r="C159" s="2">
        <v>158</v>
      </c>
      <c r="D159" s="10">
        <v>44984</v>
      </c>
      <c r="E159" s="2" t="s">
        <v>178</v>
      </c>
      <c r="F159" s="2" t="s">
        <v>20</v>
      </c>
      <c r="G159" s="2">
        <v>44</v>
      </c>
      <c r="H159" s="2" t="s">
        <v>23</v>
      </c>
      <c r="I159" s="2">
        <v>2</v>
      </c>
      <c r="J159" s="2">
        <v>300</v>
      </c>
      <c r="K159" s="2">
        <v>600</v>
      </c>
      <c r="M159" s="2">
        <v>600</v>
      </c>
      <c r="N159" t="str" cm="1">
        <f t="array" ref="N159">IF(M159=Table5[[#This Row],[Total Amount]],"Correct",Check)</f>
        <v>Correct</v>
      </c>
    </row>
    <row r="160" spans="3:14" x14ac:dyDescent="0.25">
      <c r="C160" s="2">
        <v>159</v>
      </c>
      <c r="D160" s="10">
        <v>45077</v>
      </c>
      <c r="E160" s="2" t="s">
        <v>179</v>
      </c>
      <c r="F160" s="2" t="s">
        <v>17</v>
      </c>
      <c r="G160" s="2">
        <v>26</v>
      </c>
      <c r="H160" s="2" t="s">
        <v>21</v>
      </c>
      <c r="I160" s="2">
        <v>4</v>
      </c>
      <c r="J160" s="2">
        <v>50</v>
      </c>
      <c r="K160" s="2">
        <v>200</v>
      </c>
      <c r="M160" s="2">
        <v>200</v>
      </c>
      <c r="N160" t="str" cm="1">
        <f t="array" ref="N160">IF(M160=Table5[[#This Row],[Total Amount]],"Correct",Check)</f>
        <v>Correct</v>
      </c>
    </row>
    <row r="161" spans="3:14" x14ac:dyDescent="0.25">
      <c r="C161" s="2">
        <v>160</v>
      </c>
      <c r="D161" s="10">
        <v>45149</v>
      </c>
      <c r="E161" s="2" t="s">
        <v>180</v>
      </c>
      <c r="F161" s="2" t="s">
        <v>20</v>
      </c>
      <c r="G161" s="2">
        <v>43</v>
      </c>
      <c r="H161" s="2" t="s">
        <v>21</v>
      </c>
      <c r="I161" s="2">
        <v>2</v>
      </c>
      <c r="J161" s="2">
        <v>50</v>
      </c>
      <c r="K161" s="2">
        <v>100</v>
      </c>
      <c r="M161" s="2">
        <v>100</v>
      </c>
      <c r="N161" t="str" cm="1">
        <f t="array" ref="N161">IF(M161=Table5[[#This Row],[Total Amount]],"Correct",Check)</f>
        <v>Correct</v>
      </c>
    </row>
    <row r="162" spans="3:14" x14ac:dyDescent="0.25">
      <c r="C162" s="2">
        <v>161</v>
      </c>
      <c r="D162" s="10">
        <v>45007</v>
      </c>
      <c r="E162" s="2" t="s">
        <v>181</v>
      </c>
      <c r="F162" s="2" t="s">
        <v>17</v>
      </c>
      <c r="G162" s="2">
        <v>64</v>
      </c>
      <c r="H162" s="2" t="s">
        <v>18</v>
      </c>
      <c r="I162" s="2">
        <v>2</v>
      </c>
      <c r="J162" s="2">
        <v>500</v>
      </c>
      <c r="K162" s="2">
        <v>1000</v>
      </c>
      <c r="M162" s="2">
        <v>1000</v>
      </c>
      <c r="N162" t="str" cm="1">
        <f t="array" ref="N162">IF(M162=Table5[[#This Row],[Total Amount]],"Correct",Check)</f>
        <v>Correct</v>
      </c>
    </row>
    <row r="163" spans="3:14" x14ac:dyDescent="0.25">
      <c r="C163" s="2">
        <v>162</v>
      </c>
      <c r="D163" s="10">
        <v>45159</v>
      </c>
      <c r="E163" s="2" t="s">
        <v>182</v>
      </c>
      <c r="F163" s="2" t="s">
        <v>17</v>
      </c>
      <c r="G163" s="2">
        <v>39</v>
      </c>
      <c r="H163" s="2" t="s">
        <v>21</v>
      </c>
      <c r="I163" s="2">
        <v>2</v>
      </c>
      <c r="J163" s="2">
        <v>30</v>
      </c>
      <c r="K163" s="2">
        <v>60</v>
      </c>
      <c r="M163" s="2">
        <v>60</v>
      </c>
      <c r="N163" t="str" cm="1">
        <f t="array" ref="N163">IF(M163=Table5[[#This Row],[Total Amount]],"Correct",Check)</f>
        <v>Correct</v>
      </c>
    </row>
    <row r="164" spans="3:14" x14ac:dyDescent="0.25">
      <c r="C164" s="2">
        <v>163</v>
      </c>
      <c r="D164" s="10">
        <v>44928</v>
      </c>
      <c r="E164" s="2" t="s">
        <v>183</v>
      </c>
      <c r="F164" s="2" t="s">
        <v>20</v>
      </c>
      <c r="G164" s="2">
        <v>64</v>
      </c>
      <c r="H164" s="2" t="s">
        <v>21</v>
      </c>
      <c r="I164" s="2">
        <v>3</v>
      </c>
      <c r="J164" s="2">
        <v>50</v>
      </c>
      <c r="K164" s="2">
        <v>150</v>
      </c>
      <c r="M164" s="2">
        <v>150</v>
      </c>
      <c r="N164" t="str" cm="1">
        <f t="array" ref="N164">IF(M164=Table5[[#This Row],[Total Amount]],"Correct",Check)</f>
        <v>Correct</v>
      </c>
    </row>
    <row r="165" spans="3:14" x14ac:dyDescent="0.25">
      <c r="C165" s="2">
        <v>164</v>
      </c>
      <c r="D165" s="10">
        <v>45061</v>
      </c>
      <c r="E165" s="2" t="s">
        <v>184</v>
      </c>
      <c r="F165" s="2" t="s">
        <v>20</v>
      </c>
      <c r="G165" s="2">
        <v>47</v>
      </c>
      <c r="H165" s="2" t="s">
        <v>18</v>
      </c>
      <c r="I165" s="2">
        <v>3</v>
      </c>
      <c r="J165" s="2">
        <v>500</v>
      </c>
      <c r="K165" s="2">
        <v>1500</v>
      </c>
      <c r="M165" s="2">
        <v>1500</v>
      </c>
      <c r="N165" t="str" cm="1">
        <f t="array" ref="N165">IF(M165=Table5[[#This Row],[Total Amount]],"Correct",Check)</f>
        <v>Correct</v>
      </c>
    </row>
    <row r="166" spans="3:14" x14ac:dyDescent="0.25">
      <c r="C166" s="2">
        <v>165</v>
      </c>
      <c r="D166" s="10">
        <v>45183</v>
      </c>
      <c r="E166" s="2" t="s">
        <v>185</v>
      </c>
      <c r="F166" s="2" t="s">
        <v>20</v>
      </c>
      <c r="G166" s="2">
        <v>60</v>
      </c>
      <c r="H166" s="2" t="s">
        <v>21</v>
      </c>
      <c r="I166" s="2">
        <v>4</v>
      </c>
      <c r="J166" s="2">
        <v>300</v>
      </c>
      <c r="K166" s="2">
        <v>1200</v>
      </c>
      <c r="M166" s="2">
        <v>1200</v>
      </c>
      <c r="N166" t="str" cm="1">
        <f t="array" ref="N166">IF(M166=Table5[[#This Row],[Total Amount]],"Correct",Check)</f>
        <v>Correct</v>
      </c>
    </row>
    <row r="167" spans="3:14" x14ac:dyDescent="0.25">
      <c r="C167" s="2">
        <v>166</v>
      </c>
      <c r="D167" s="10">
        <v>45018</v>
      </c>
      <c r="E167" s="2" t="s">
        <v>186</v>
      </c>
      <c r="F167" s="2" t="s">
        <v>17</v>
      </c>
      <c r="G167" s="2">
        <v>34</v>
      </c>
      <c r="H167" s="2" t="s">
        <v>21</v>
      </c>
      <c r="I167" s="2">
        <v>4</v>
      </c>
      <c r="J167" s="2">
        <v>500</v>
      </c>
      <c r="K167" s="2">
        <v>2000</v>
      </c>
      <c r="M167" s="2">
        <v>2000</v>
      </c>
      <c r="N167" t="str" cm="1">
        <f t="array" ref="N167">IF(M167=Table5[[#This Row],[Total Amount]],"Correct",Check)</f>
        <v>Correct</v>
      </c>
    </row>
    <row r="168" spans="3:14" x14ac:dyDescent="0.25">
      <c r="C168" s="2">
        <v>167</v>
      </c>
      <c r="D168" s="10">
        <v>45186</v>
      </c>
      <c r="E168" s="2" t="s">
        <v>187</v>
      </c>
      <c r="F168" s="2" t="s">
        <v>20</v>
      </c>
      <c r="G168" s="2">
        <v>43</v>
      </c>
      <c r="H168" s="2" t="s">
        <v>21</v>
      </c>
      <c r="I168" s="2">
        <v>3</v>
      </c>
      <c r="J168" s="2">
        <v>50</v>
      </c>
      <c r="K168" s="2">
        <v>150</v>
      </c>
      <c r="M168" s="2">
        <v>150</v>
      </c>
      <c r="N168" t="str" cm="1">
        <f t="array" ref="N168">IF(M168=Table5[[#This Row],[Total Amount]],"Correct",Check)</f>
        <v>Correct</v>
      </c>
    </row>
    <row r="169" spans="3:14" x14ac:dyDescent="0.25">
      <c r="C169" s="2">
        <v>168</v>
      </c>
      <c r="D169" s="10">
        <v>44981</v>
      </c>
      <c r="E169" s="2" t="s">
        <v>188</v>
      </c>
      <c r="F169" s="2" t="s">
        <v>17</v>
      </c>
      <c r="G169" s="2">
        <v>53</v>
      </c>
      <c r="H169" s="2" t="s">
        <v>21</v>
      </c>
      <c r="I169" s="2">
        <v>1</v>
      </c>
      <c r="J169" s="2">
        <v>300</v>
      </c>
      <c r="K169" s="2">
        <v>300</v>
      </c>
      <c r="M169" s="2">
        <v>300</v>
      </c>
      <c r="N169" t="str" cm="1">
        <f t="array" ref="N169">IF(M169=Table5[[#This Row],[Total Amount]],"Correct",Check)</f>
        <v>Correct</v>
      </c>
    </row>
    <row r="170" spans="3:14" x14ac:dyDescent="0.25">
      <c r="C170" s="2">
        <v>169</v>
      </c>
      <c r="D170" s="10">
        <v>45247</v>
      </c>
      <c r="E170" s="2" t="s">
        <v>189</v>
      </c>
      <c r="F170" s="2" t="s">
        <v>17</v>
      </c>
      <c r="G170" s="2">
        <v>18</v>
      </c>
      <c r="H170" s="2" t="s">
        <v>18</v>
      </c>
      <c r="I170" s="2">
        <v>3</v>
      </c>
      <c r="J170" s="2">
        <v>500</v>
      </c>
      <c r="K170" s="2">
        <v>1500</v>
      </c>
      <c r="M170" s="2">
        <v>1500</v>
      </c>
      <c r="N170" t="str" cm="1">
        <f t="array" ref="N170">IF(M170=Table5[[#This Row],[Total Amount]],"Correct",Check)</f>
        <v>Correct</v>
      </c>
    </row>
    <row r="171" spans="3:14" x14ac:dyDescent="0.25">
      <c r="C171" s="2">
        <v>170</v>
      </c>
      <c r="D171" s="10">
        <v>45079</v>
      </c>
      <c r="E171" s="2" t="s">
        <v>190</v>
      </c>
      <c r="F171" s="2" t="s">
        <v>20</v>
      </c>
      <c r="G171" s="2">
        <v>25</v>
      </c>
      <c r="H171" s="2" t="s">
        <v>21</v>
      </c>
      <c r="I171" s="2">
        <v>2</v>
      </c>
      <c r="J171" s="2">
        <v>25</v>
      </c>
      <c r="K171" s="2">
        <v>50</v>
      </c>
      <c r="M171" s="2">
        <v>50</v>
      </c>
      <c r="N171" t="str" cm="1">
        <f t="array" ref="N171">IF(M171=Table5[[#This Row],[Total Amount]],"Correct",Check)</f>
        <v>Correct</v>
      </c>
    </row>
    <row r="172" spans="3:14" x14ac:dyDescent="0.25">
      <c r="C172" s="2">
        <v>171</v>
      </c>
      <c r="D172" s="10">
        <v>45254</v>
      </c>
      <c r="E172" s="2" t="s">
        <v>191</v>
      </c>
      <c r="F172" s="2" t="s">
        <v>20</v>
      </c>
      <c r="G172" s="2">
        <v>52</v>
      </c>
      <c r="H172" s="2" t="s">
        <v>21</v>
      </c>
      <c r="I172" s="2">
        <v>3</v>
      </c>
      <c r="J172" s="2">
        <v>300</v>
      </c>
      <c r="K172" s="2">
        <v>900</v>
      </c>
      <c r="M172" s="2">
        <v>900</v>
      </c>
      <c r="N172" t="str" cm="1">
        <f t="array" ref="N172">IF(M172=Table5[[#This Row],[Total Amount]],"Correct",Check)</f>
        <v>Correct</v>
      </c>
    </row>
    <row r="173" spans="3:14" x14ac:dyDescent="0.25">
      <c r="C173" s="2">
        <v>172</v>
      </c>
      <c r="D173" s="10">
        <v>45186</v>
      </c>
      <c r="E173" s="2" t="s">
        <v>192</v>
      </c>
      <c r="F173" s="2" t="s">
        <v>17</v>
      </c>
      <c r="G173" s="2">
        <v>32</v>
      </c>
      <c r="H173" s="2" t="s">
        <v>18</v>
      </c>
      <c r="I173" s="2">
        <v>2</v>
      </c>
      <c r="J173" s="2">
        <v>25</v>
      </c>
      <c r="K173" s="2">
        <v>50</v>
      </c>
      <c r="M173" s="2">
        <v>50</v>
      </c>
      <c r="N173" t="str" cm="1">
        <f t="array" ref="N173">IF(M173=Table5[[#This Row],[Total Amount]],"Correct",Check)</f>
        <v>Correct</v>
      </c>
    </row>
    <row r="174" spans="3:14" x14ac:dyDescent="0.25">
      <c r="C174" s="2">
        <v>173</v>
      </c>
      <c r="D174" s="10">
        <v>45238</v>
      </c>
      <c r="E174" s="2" t="s">
        <v>193</v>
      </c>
      <c r="F174" s="2" t="s">
        <v>17</v>
      </c>
      <c r="G174" s="2">
        <v>64</v>
      </c>
      <c r="H174" s="2" t="s">
        <v>23</v>
      </c>
      <c r="I174" s="2">
        <v>4</v>
      </c>
      <c r="J174" s="2">
        <v>30</v>
      </c>
      <c r="K174" s="2">
        <v>120</v>
      </c>
      <c r="M174" s="2">
        <v>120</v>
      </c>
      <c r="N174" t="str" cm="1">
        <f t="array" ref="N174">IF(M174=Table5[[#This Row],[Total Amount]],"Correct",Check)</f>
        <v>Correct</v>
      </c>
    </row>
    <row r="175" spans="3:14" x14ac:dyDescent="0.25">
      <c r="C175" s="2">
        <v>174</v>
      </c>
      <c r="D175" s="10">
        <v>45028</v>
      </c>
      <c r="E175" s="2" t="s">
        <v>194</v>
      </c>
      <c r="F175" s="2" t="s">
        <v>20</v>
      </c>
      <c r="G175" s="2">
        <v>39</v>
      </c>
      <c r="H175" s="2" t="s">
        <v>18</v>
      </c>
      <c r="I175" s="2">
        <v>1</v>
      </c>
      <c r="J175" s="2">
        <v>300</v>
      </c>
      <c r="K175" s="2">
        <v>300</v>
      </c>
      <c r="M175" s="2">
        <v>300</v>
      </c>
      <c r="N175" t="str" cm="1">
        <f t="array" ref="N175">IF(M175=Table5[[#This Row],[Total Amount]],"Correct",Check)</f>
        <v>Correct</v>
      </c>
    </row>
    <row r="176" spans="3:14" x14ac:dyDescent="0.25">
      <c r="C176" s="2">
        <v>175</v>
      </c>
      <c r="D176" s="10">
        <v>45005</v>
      </c>
      <c r="E176" s="2" t="s">
        <v>195</v>
      </c>
      <c r="F176" s="2" t="s">
        <v>20</v>
      </c>
      <c r="G176" s="2">
        <v>31</v>
      </c>
      <c r="H176" s="2" t="s">
        <v>23</v>
      </c>
      <c r="I176" s="2">
        <v>4</v>
      </c>
      <c r="J176" s="2">
        <v>25</v>
      </c>
      <c r="K176" s="2">
        <v>100</v>
      </c>
      <c r="M176" s="2">
        <v>100</v>
      </c>
      <c r="N176" t="str" cm="1">
        <f t="array" ref="N176">IF(M176=Table5[[#This Row],[Total Amount]],"Correct",Check)</f>
        <v>Correct</v>
      </c>
    </row>
    <row r="177" spans="3:14" x14ac:dyDescent="0.25">
      <c r="C177" s="2">
        <v>176</v>
      </c>
      <c r="D177" s="10">
        <v>45118</v>
      </c>
      <c r="E177" s="2" t="s">
        <v>196</v>
      </c>
      <c r="F177" s="2" t="s">
        <v>20</v>
      </c>
      <c r="G177" s="2">
        <v>43</v>
      </c>
      <c r="H177" s="2" t="s">
        <v>18</v>
      </c>
      <c r="I177" s="2">
        <v>2</v>
      </c>
      <c r="J177" s="2">
        <v>50</v>
      </c>
      <c r="K177" s="2">
        <v>100</v>
      </c>
      <c r="M177" s="2">
        <v>100</v>
      </c>
      <c r="N177" t="str" cm="1">
        <f t="array" ref="N177">IF(M177=Table5[[#This Row],[Total Amount]],"Correct",Check)</f>
        <v>Correct</v>
      </c>
    </row>
    <row r="178" spans="3:14" x14ac:dyDescent="0.25">
      <c r="C178" s="2">
        <v>177</v>
      </c>
      <c r="D178" s="10">
        <v>45009</v>
      </c>
      <c r="E178" s="2" t="s">
        <v>197</v>
      </c>
      <c r="F178" s="2" t="s">
        <v>17</v>
      </c>
      <c r="G178" s="2">
        <v>45</v>
      </c>
      <c r="H178" s="2" t="s">
        <v>18</v>
      </c>
      <c r="I178" s="2">
        <v>2</v>
      </c>
      <c r="J178" s="2">
        <v>50</v>
      </c>
      <c r="K178" s="2">
        <v>100</v>
      </c>
      <c r="M178" s="2">
        <v>100</v>
      </c>
      <c r="N178" t="str" cm="1">
        <f t="array" ref="N178">IF(M178=Table5[[#This Row],[Total Amount]],"Correct",Check)</f>
        <v>Correct</v>
      </c>
    </row>
    <row r="179" spans="3:14" x14ac:dyDescent="0.25">
      <c r="C179" s="2">
        <v>178</v>
      </c>
      <c r="D179" s="10">
        <v>45203</v>
      </c>
      <c r="E179" s="2" t="s">
        <v>198</v>
      </c>
      <c r="F179" s="2" t="s">
        <v>17</v>
      </c>
      <c r="G179" s="2">
        <v>40</v>
      </c>
      <c r="H179" s="2" t="s">
        <v>21</v>
      </c>
      <c r="I179" s="2">
        <v>2</v>
      </c>
      <c r="J179" s="2">
        <v>30</v>
      </c>
      <c r="K179" s="2">
        <v>60</v>
      </c>
      <c r="M179" s="2">
        <v>60</v>
      </c>
      <c r="N179" t="str" cm="1">
        <f t="array" ref="N179">IF(M179=Table5[[#This Row],[Total Amount]],"Correct",Check)</f>
        <v>Correct</v>
      </c>
    </row>
    <row r="180" spans="3:14" x14ac:dyDescent="0.25">
      <c r="C180" s="2">
        <v>179</v>
      </c>
      <c r="D180" s="10">
        <v>45198</v>
      </c>
      <c r="E180" s="2" t="s">
        <v>199</v>
      </c>
      <c r="F180" s="2" t="s">
        <v>17</v>
      </c>
      <c r="G180" s="2">
        <v>31</v>
      </c>
      <c r="H180" s="2" t="s">
        <v>23</v>
      </c>
      <c r="I180" s="2">
        <v>1</v>
      </c>
      <c r="J180" s="2">
        <v>300</v>
      </c>
      <c r="K180" s="2">
        <v>300</v>
      </c>
      <c r="M180" s="2">
        <v>300</v>
      </c>
      <c r="N180" t="str" cm="1">
        <f t="array" ref="N180">IF(M180=Table5[[#This Row],[Total Amount]],"Correct",Check)</f>
        <v>Correct</v>
      </c>
    </row>
    <row r="181" spans="3:14" x14ac:dyDescent="0.25">
      <c r="C181" s="2">
        <v>180</v>
      </c>
      <c r="D181" s="10">
        <v>44927</v>
      </c>
      <c r="E181" s="2" t="s">
        <v>200</v>
      </c>
      <c r="F181" s="2" t="s">
        <v>17</v>
      </c>
      <c r="G181" s="2">
        <v>41</v>
      </c>
      <c r="H181" s="2" t="s">
        <v>21</v>
      </c>
      <c r="I181" s="2">
        <v>3</v>
      </c>
      <c r="J181" s="2">
        <v>300</v>
      </c>
      <c r="K181" s="2">
        <v>900</v>
      </c>
      <c r="M181" s="2">
        <v>900</v>
      </c>
      <c r="N181" t="str" cm="1">
        <f t="array" ref="N181">IF(M181=Table5[[#This Row],[Total Amount]],"Correct",Check)</f>
        <v>Correct</v>
      </c>
    </row>
    <row r="182" spans="3:14" x14ac:dyDescent="0.25">
      <c r="C182" s="2">
        <v>181</v>
      </c>
      <c r="D182" s="10">
        <v>45233</v>
      </c>
      <c r="E182" s="2" t="s">
        <v>201</v>
      </c>
      <c r="F182" s="2" t="s">
        <v>17</v>
      </c>
      <c r="G182" s="2">
        <v>19</v>
      </c>
      <c r="H182" s="2" t="s">
        <v>23</v>
      </c>
      <c r="I182" s="2">
        <v>4</v>
      </c>
      <c r="J182" s="2">
        <v>300</v>
      </c>
      <c r="K182" s="2">
        <v>1200</v>
      </c>
      <c r="M182" s="2">
        <v>1200</v>
      </c>
      <c r="N182" t="str" cm="1">
        <f t="array" ref="N182">IF(M182=Table5[[#This Row],[Total Amount]],"Correct",Check)</f>
        <v>Correct</v>
      </c>
    </row>
    <row r="183" spans="3:14" x14ac:dyDescent="0.25">
      <c r="C183" s="2">
        <v>182</v>
      </c>
      <c r="D183" s="10">
        <v>45092</v>
      </c>
      <c r="E183" s="2" t="s">
        <v>202</v>
      </c>
      <c r="F183" s="2" t="s">
        <v>17</v>
      </c>
      <c r="G183" s="2">
        <v>62</v>
      </c>
      <c r="H183" s="2" t="s">
        <v>18</v>
      </c>
      <c r="I183" s="2">
        <v>4</v>
      </c>
      <c r="J183" s="2">
        <v>30</v>
      </c>
      <c r="K183" s="2">
        <v>120</v>
      </c>
      <c r="M183" s="2">
        <v>120</v>
      </c>
      <c r="N183" t="str" cm="1">
        <f t="array" ref="N183">IF(M183=Table5[[#This Row],[Total Amount]],"Correct",Check)</f>
        <v>Correct</v>
      </c>
    </row>
    <row r="184" spans="3:14" x14ac:dyDescent="0.25">
      <c r="C184" s="2">
        <v>183</v>
      </c>
      <c r="D184" s="10">
        <v>45177</v>
      </c>
      <c r="E184" s="2" t="s">
        <v>203</v>
      </c>
      <c r="F184" s="2" t="s">
        <v>20</v>
      </c>
      <c r="G184" s="2">
        <v>43</v>
      </c>
      <c r="H184" s="2" t="s">
        <v>18</v>
      </c>
      <c r="I184" s="2">
        <v>3</v>
      </c>
      <c r="J184" s="2">
        <v>300</v>
      </c>
      <c r="K184" s="2">
        <v>900</v>
      </c>
      <c r="M184" s="2">
        <v>900</v>
      </c>
      <c r="N184" t="str" cm="1">
        <f t="array" ref="N184">IF(M184=Table5[[#This Row],[Total Amount]],"Correct",Check)</f>
        <v>Correct</v>
      </c>
    </row>
    <row r="185" spans="3:14" x14ac:dyDescent="0.25">
      <c r="C185" s="2">
        <v>184</v>
      </c>
      <c r="D185" s="10">
        <v>44936</v>
      </c>
      <c r="E185" s="2" t="s">
        <v>204</v>
      </c>
      <c r="F185" s="2" t="s">
        <v>17</v>
      </c>
      <c r="G185" s="2">
        <v>31</v>
      </c>
      <c r="H185" s="2" t="s">
        <v>23</v>
      </c>
      <c r="I185" s="2">
        <v>4</v>
      </c>
      <c r="J185" s="2">
        <v>50</v>
      </c>
      <c r="K185" s="2">
        <v>200</v>
      </c>
      <c r="M185" s="2">
        <v>200</v>
      </c>
      <c r="N185" t="str" cm="1">
        <f t="array" ref="N185">IF(M185=Table5[[#This Row],[Total Amount]],"Correct",Check)</f>
        <v>Correct</v>
      </c>
    </row>
    <row r="186" spans="3:14" x14ac:dyDescent="0.25">
      <c r="C186" s="2">
        <v>185</v>
      </c>
      <c r="D186" s="10">
        <v>44984</v>
      </c>
      <c r="E186" s="2" t="s">
        <v>205</v>
      </c>
      <c r="F186" s="2" t="s">
        <v>17</v>
      </c>
      <c r="G186" s="2">
        <v>24</v>
      </c>
      <c r="H186" s="2" t="s">
        <v>21</v>
      </c>
      <c r="I186" s="2">
        <v>1</v>
      </c>
      <c r="J186" s="2">
        <v>25</v>
      </c>
      <c r="K186" s="2">
        <v>25</v>
      </c>
      <c r="M186" s="2">
        <v>25</v>
      </c>
      <c r="N186" t="str" cm="1">
        <f t="array" ref="N186">IF(M186=Table5[[#This Row],[Total Amount]],"Correct",Check)</f>
        <v>Correct</v>
      </c>
    </row>
    <row r="187" spans="3:14" x14ac:dyDescent="0.25">
      <c r="C187" s="2">
        <v>186</v>
      </c>
      <c r="D187" s="10">
        <v>45112</v>
      </c>
      <c r="E187" s="2" t="s">
        <v>206</v>
      </c>
      <c r="F187" s="2" t="s">
        <v>17</v>
      </c>
      <c r="G187" s="2">
        <v>20</v>
      </c>
      <c r="H187" s="2" t="s">
        <v>21</v>
      </c>
      <c r="I187" s="2">
        <v>4</v>
      </c>
      <c r="J187" s="2">
        <v>50</v>
      </c>
      <c r="K187" s="2">
        <v>200</v>
      </c>
      <c r="M187" s="2">
        <v>200</v>
      </c>
      <c r="N187" t="str" cm="1">
        <f t="array" ref="N187">IF(M187=Table5[[#This Row],[Total Amount]],"Correct",Check)</f>
        <v>Correct</v>
      </c>
    </row>
    <row r="188" spans="3:14" x14ac:dyDescent="0.25">
      <c r="C188" s="2">
        <v>187</v>
      </c>
      <c r="D188" s="10">
        <v>45084</v>
      </c>
      <c r="E188" s="2" t="s">
        <v>207</v>
      </c>
      <c r="F188" s="2" t="s">
        <v>20</v>
      </c>
      <c r="G188" s="2">
        <v>64</v>
      </c>
      <c r="H188" s="2" t="s">
        <v>21</v>
      </c>
      <c r="I188" s="2">
        <v>2</v>
      </c>
      <c r="J188" s="2">
        <v>50</v>
      </c>
      <c r="K188" s="2">
        <v>100</v>
      </c>
      <c r="M188" s="2">
        <v>100</v>
      </c>
      <c r="N188" t="str" cm="1">
        <f t="array" ref="N188">IF(M188=Table5[[#This Row],[Total Amount]],"Correct",Check)</f>
        <v>Correct</v>
      </c>
    </row>
    <row r="189" spans="3:14" x14ac:dyDescent="0.25">
      <c r="C189" s="2">
        <v>188</v>
      </c>
      <c r="D189" s="10">
        <v>45049</v>
      </c>
      <c r="E189" s="2" t="s">
        <v>208</v>
      </c>
      <c r="F189" s="2" t="s">
        <v>17</v>
      </c>
      <c r="G189" s="2">
        <v>40</v>
      </c>
      <c r="H189" s="2" t="s">
        <v>21</v>
      </c>
      <c r="I189" s="2">
        <v>3</v>
      </c>
      <c r="J189" s="2">
        <v>25</v>
      </c>
      <c r="K189" s="2">
        <v>75</v>
      </c>
      <c r="M189" s="2">
        <v>75</v>
      </c>
      <c r="N189" t="str" cm="1">
        <f t="array" ref="N189">IF(M189=Table5[[#This Row],[Total Amount]],"Correct",Check)</f>
        <v>Correct</v>
      </c>
    </row>
    <row r="190" spans="3:14" x14ac:dyDescent="0.25">
      <c r="C190" s="2">
        <v>189</v>
      </c>
      <c r="D190" s="10">
        <v>44956</v>
      </c>
      <c r="E190" s="2" t="s">
        <v>209</v>
      </c>
      <c r="F190" s="2" t="s">
        <v>17</v>
      </c>
      <c r="G190" s="2">
        <v>63</v>
      </c>
      <c r="H190" s="2" t="s">
        <v>18</v>
      </c>
      <c r="I190" s="2">
        <v>1</v>
      </c>
      <c r="J190" s="2">
        <v>50</v>
      </c>
      <c r="K190" s="2">
        <v>50</v>
      </c>
      <c r="M190" s="2">
        <v>50</v>
      </c>
      <c r="N190" t="str" cm="1">
        <f t="array" ref="N190">IF(M190=Table5[[#This Row],[Total Amount]],"Correct",Check)</f>
        <v>Correct</v>
      </c>
    </row>
    <row r="191" spans="3:14" x14ac:dyDescent="0.25">
      <c r="C191" s="2">
        <v>190</v>
      </c>
      <c r="D191" s="10">
        <v>45050</v>
      </c>
      <c r="E191" s="2" t="s">
        <v>210</v>
      </c>
      <c r="F191" s="2" t="s">
        <v>20</v>
      </c>
      <c r="G191" s="2">
        <v>60</v>
      </c>
      <c r="H191" s="2" t="s">
        <v>18</v>
      </c>
      <c r="I191" s="2">
        <v>3</v>
      </c>
      <c r="J191" s="2">
        <v>30</v>
      </c>
      <c r="K191" s="2">
        <v>90</v>
      </c>
      <c r="M191" s="2">
        <v>90</v>
      </c>
      <c r="N191" t="str" cm="1">
        <f t="array" ref="N191">IF(M191=Table5[[#This Row],[Total Amount]],"Correct",Check)</f>
        <v>Correct</v>
      </c>
    </row>
    <row r="192" spans="3:14" x14ac:dyDescent="0.25">
      <c r="C192" s="2">
        <v>191</v>
      </c>
      <c r="D192" s="10">
        <v>45217</v>
      </c>
      <c r="E192" s="2" t="s">
        <v>211</v>
      </c>
      <c r="F192" s="2" t="s">
        <v>17</v>
      </c>
      <c r="G192" s="2">
        <v>64</v>
      </c>
      <c r="H192" s="2" t="s">
        <v>18</v>
      </c>
      <c r="I192" s="2">
        <v>1</v>
      </c>
      <c r="J192" s="2">
        <v>25</v>
      </c>
      <c r="K192" s="2">
        <v>25</v>
      </c>
      <c r="M192" s="2">
        <v>25</v>
      </c>
      <c r="N192" t="str" cm="1">
        <f t="array" ref="N192">IF(M192=Table5[[#This Row],[Total Amount]],"Correct",Check)</f>
        <v>Correct</v>
      </c>
    </row>
    <row r="193" spans="3:14" x14ac:dyDescent="0.25">
      <c r="C193" s="2">
        <v>192</v>
      </c>
      <c r="D193" s="10">
        <v>44967</v>
      </c>
      <c r="E193" s="2" t="s">
        <v>212</v>
      </c>
      <c r="F193" s="2" t="s">
        <v>17</v>
      </c>
      <c r="G193" s="2">
        <v>62</v>
      </c>
      <c r="H193" s="2" t="s">
        <v>18</v>
      </c>
      <c r="I193" s="2">
        <v>2</v>
      </c>
      <c r="J193" s="2">
        <v>50</v>
      </c>
      <c r="K193" s="2">
        <v>100</v>
      </c>
      <c r="M193" s="2">
        <v>100</v>
      </c>
      <c r="N193" t="str" cm="1">
        <f t="array" ref="N193">IF(M193=Table5[[#This Row],[Total Amount]],"Correct",Check)</f>
        <v>Correct</v>
      </c>
    </row>
    <row r="194" spans="3:14" x14ac:dyDescent="0.25">
      <c r="C194" s="2">
        <v>193</v>
      </c>
      <c r="D194" s="10">
        <v>44970</v>
      </c>
      <c r="E194" s="2" t="s">
        <v>213</v>
      </c>
      <c r="F194" s="2" t="s">
        <v>17</v>
      </c>
      <c r="G194" s="2">
        <v>35</v>
      </c>
      <c r="H194" s="2" t="s">
        <v>18</v>
      </c>
      <c r="I194" s="2">
        <v>3</v>
      </c>
      <c r="J194" s="2">
        <v>500</v>
      </c>
      <c r="K194" s="2">
        <v>1500</v>
      </c>
      <c r="M194" s="2">
        <v>1500</v>
      </c>
      <c r="N194" t="str" cm="1">
        <f t="array" ref="N194">IF(M194=Table5[[#This Row],[Total Amount]],"Correct",Check)</f>
        <v>Correct</v>
      </c>
    </row>
    <row r="195" spans="3:14" x14ac:dyDescent="0.25">
      <c r="C195" s="2">
        <v>194</v>
      </c>
      <c r="D195" s="10">
        <v>45175</v>
      </c>
      <c r="E195" s="2" t="s">
        <v>214</v>
      </c>
      <c r="F195" s="2" t="s">
        <v>17</v>
      </c>
      <c r="G195" s="2">
        <v>55</v>
      </c>
      <c r="H195" s="2" t="s">
        <v>21</v>
      </c>
      <c r="I195" s="2">
        <v>4</v>
      </c>
      <c r="J195" s="2">
        <v>50</v>
      </c>
      <c r="K195" s="2">
        <v>200</v>
      </c>
      <c r="M195" s="2">
        <v>200</v>
      </c>
      <c r="N195" t="str" cm="1">
        <f t="array" ref="N195">IF(M195=Table5[[#This Row],[Total Amount]],"Correct",Check)</f>
        <v>Correct</v>
      </c>
    </row>
    <row r="196" spans="3:14" x14ac:dyDescent="0.25">
      <c r="C196" s="2">
        <v>195</v>
      </c>
      <c r="D196" s="10">
        <v>44962</v>
      </c>
      <c r="E196" s="2" t="s">
        <v>215</v>
      </c>
      <c r="F196" s="2" t="s">
        <v>17</v>
      </c>
      <c r="G196" s="2">
        <v>52</v>
      </c>
      <c r="H196" s="2" t="s">
        <v>21</v>
      </c>
      <c r="I196" s="2">
        <v>1</v>
      </c>
      <c r="J196" s="2">
        <v>30</v>
      </c>
      <c r="K196" s="2">
        <v>30</v>
      </c>
      <c r="M196" s="2">
        <v>30</v>
      </c>
      <c r="N196" t="str" cm="1">
        <f t="array" ref="N196">IF(M196=Table5[[#This Row],[Total Amount]],"Correct",Check)</f>
        <v>Correct</v>
      </c>
    </row>
    <row r="197" spans="3:14" x14ac:dyDescent="0.25">
      <c r="C197" s="2">
        <v>196</v>
      </c>
      <c r="D197" s="10">
        <v>45199</v>
      </c>
      <c r="E197" s="2" t="s">
        <v>216</v>
      </c>
      <c r="F197" s="2" t="s">
        <v>20</v>
      </c>
      <c r="G197" s="2">
        <v>32</v>
      </c>
      <c r="H197" s="2" t="s">
        <v>21</v>
      </c>
      <c r="I197" s="2">
        <v>3</v>
      </c>
      <c r="J197" s="2">
        <v>300</v>
      </c>
      <c r="K197" s="2">
        <v>900</v>
      </c>
      <c r="M197" s="2">
        <v>900</v>
      </c>
      <c r="N197" t="str" cm="1">
        <f t="array" ref="N197">IF(M197=Table5[[#This Row],[Total Amount]],"Correct",Check)</f>
        <v>Correct</v>
      </c>
    </row>
    <row r="198" spans="3:14" x14ac:dyDescent="0.25">
      <c r="C198" s="2">
        <v>197</v>
      </c>
      <c r="D198" s="10">
        <v>44991</v>
      </c>
      <c r="E198" s="2" t="s">
        <v>217</v>
      </c>
      <c r="F198" s="2" t="s">
        <v>20</v>
      </c>
      <c r="G198" s="2">
        <v>42</v>
      </c>
      <c r="H198" s="2" t="s">
        <v>21</v>
      </c>
      <c r="I198" s="2">
        <v>4</v>
      </c>
      <c r="J198" s="2">
        <v>50</v>
      </c>
      <c r="K198" s="2">
        <v>200</v>
      </c>
      <c r="M198" s="2">
        <v>200</v>
      </c>
      <c r="N198" t="str" cm="1">
        <f t="array" ref="N198">IF(M198=Table5[[#This Row],[Total Amount]],"Correct",Check)</f>
        <v>Correct</v>
      </c>
    </row>
    <row r="199" spans="3:14" x14ac:dyDescent="0.25">
      <c r="C199" s="2">
        <v>198</v>
      </c>
      <c r="D199" s="10">
        <v>44992</v>
      </c>
      <c r="E199" s="2" t="s">
        <v>218</v>
      </c>
      <c r="F199" s="2" t="s">
        <v>20</v>
      </c>
      <c r="G199" s="2">
        <v>54</v>
      </c>
      <c r="H199" s="2" t="s">
        <v>18</v>
      </c>
      <c r="I199" s="2">
        <v>3</v>
      </c>
      <c r="J199" s="2">
        <v>300</v>
      </c>
      <c r="K199" s="2">
        <v>900</v>
      </c>
      <c r="M199" s="2">
        <v>900</v>
      </c>
      <c r="N199" t="str" cm="1">
        <f t="array" ref="N199">IF(M199=Table5[[#This Row],[Total Amount]],"Correct",Check)</f>
        <v>Correct</v>
      </c>
    </row>
    <row r="200" spans="3:14" x14ac:dyDescent="0.25">
      <c r="C200" s="2">
        <v>199</v>
      </c>
      <c r="D200" s="10">
        <v>45264</v>
      </c>
      <c r="E200" s="2" t="s">
        <v>219</v>
      </c>
      <c r="F200" s="2" t="s">
        <v>17</v>
      </c>
      <c r="G200" s="2">
        <v>45</v>
      </c>
      <c r="H200" s="2" t="s">
        <v>18</v>
      </c>
      <c r="I200" s="2">
        <v>3</v>
      </c>
      <c r="J200" s="2">
        <v>500</v>
      </c>
      <c r="K200" s="2">
        <v>1500</v>
      </c>
      <c r="M200" s="2">
        <v>1500</v>
      </c>
      <c r="N200" t="str" cm="1">
        <f t="array" ref="N200">IF(M200=Table5[[#This Row],[Total Amount]],"Correct",Check)</f>
        <v>Correct</v>
      </c>
    </row>
    <row r="201" spans="3:14" x14ac:dyDescent="0.25">
      <c r="C201" s="2">
        <v>200</v>
      </c>
      <c r="D201" s="10">
        <v>45170</v>
      </c>
      <c r="E201" s="2" t="s">
        <v>220</v>
      </c>
      <c r="F201" s="2" t="s">
        <v>17</v>
      </c>
      <c r="G201" s="2">
        <v>27</v>
      </c>
      <c r="H201" s="2" t="s">
        <v>18</v>
      </c>
      <c r="I201" s="2">
        <v>3</v>
      </c>
      <c r="J201" s="2">
        <v>50</v>
      </c>
      <c r="K201" s="2">
        <v>150</v>
      </c>
      <c r="M201" s="2">
        <v>150</v>
      </c>
      <c r="N201" t="str" cm="1">
        <f t="array" ref="N201">IF(M201=Table5[[#This Row],[Total Amount]],"Correct",Check)</f>
        <v>Correct</v>
      </c>
    </row>
    <row r="202" spans="3:14" x14ac:dyDescent="0.25">
      <c r="C202" s="2">
        <v>201</v>
      </c>
      <c r="D202" s="10">
        <v>45208</v>
      </c>
      <c r="E202" s="2" t="s">
        <v>221</v>
      </c>
      <c r="F202" s="2" t="s">
        <v>17</v>
      </c>
      <c r="G202" s="2">
        <v>56</v>
      </c>
      <c r="H202" s="2" t="s">
        <v>23</v>
      </c>
      <c r="I202" s="2">
        <v>1</v>
      </c>
      <c r="J202" s="2">
        <v>25</v>
      </c>
      <c r="K202" s="2">
        <v>25</v>
      </c>
      <c r="M202" s="2">
        <v>25</v>
      </c>
      <c r="N202" t="str" cm="1">
        <f t="array" ref="N202">IF(M202=Table5[[#This Row],[Total Amount]],"Correct",Check)</f>
        <v>Correct</v>
      </c>
    </row>
    <row r="203" spans="3:14" x14ac:dyDescent="0.25">
      <c r="C203" s="2">
        <v>202</v>
      </c>
      <c r="D203" s="10">
        <v>45011</v>
      </c>
      <c r="E203" s="2" t="s">
        <v>222</v>
      </c>
      <c r="F203" s="2" t="s">
        <v>20</v>
      </c>
      <c r="G203" s="2">
        <v>34</v>
      </c>
      <c r="H203" s="2" t="s">
        <v>21</v>
      </c>
      <c r="I203" s="2">
        <v>4</v>
      </c>
      <c r="J203" s="2">
        <v>300</v>
      </c>
      <c r="K203" s="2">
        <v>1200</v>
      </c>
      <c r="M203" s="2">
        <v>1200</v>
      </c>
      <c r="N203" t="str" cm="1">
        <f t="array" ref="N203">IF(M203=Table5[[#This Row],[Total Amount]],"Correct",Check)</f>
        <v>Correct</v>
      </c>
    </row>
    <row r="204" spans="3:14" x14ac:dyDescent="0.25">
      <c r="C204" s="2">
        <v>203</v>
      </c>
      <c r="D204" s="10">
        <v>45062</v>
      </c>
      <c r="E204" s="2" t="s">
        <v>223</v>
      </c>
      <c r="F204" s="2" t="s">
        <v>17</v>
      </c>
      <c r="G204" s="2">
        <v>56</v>
      </c>
      <c r="H204" s="2" t="s">
        <v>21</v>
      </c>
      <c r="I204" s="2">
        <v>2</v>
      </c>
      <c r="J204" s="2">
        <v>500</v>
      </c>
      <c r="K204" s="2">
        <v>1000</v>
      </c>
      <c r="M204" s="2">
        <v>1000</v>
      </c>
      <c r="N204" t="str" cm="1">
        <f t="array" ref="N204">IF(M204=Table5[[#This Row],[Total Amount]],"Correct",Check)</f>
        <v>Correct</v>
      </c>
    </row>
    <row r="205" spans="3:14" x14ac:dyDescent="0.25">
      <c r="C205" s="2">
        <v>204</v>
      </c>
      <c r="D205" s="10">
        <v>45197</v>
      </c>
      <c r="E205" s="2" t="s">
        <v>224</v>
      </c>
      <c r="F205" s="2" t="s">
        <v>17</v>
      </c>
      <c r="G205" s="2">
        <v>39</v>
      </c>
      <c r="H205" s="2" t="s">
        <v>18</v>
      </c>
      <c r="I205" s="2">
        <v>1</v>
      </c>
      <c r="J205" s="2">
        <v>25</v>
      </c>
      <c r="K205" s="2">
        <v>25</v>
      </c>
      <c r="M205" s="2">
        <v>25</v>
      </c>
      <c r="N205" t="str" cm="1">
        <f t="array" ref="N205">IF(M205=Table5[[#This Row],[Total Amount]],"Correct",Check)</f>
        <v>Correct</v>
      </c>
    </row>
    <row r="206" spans="3:14" x14ac:dyDescent="0.25">
      <c r="C206" s="2">
        <v>205</v>
      </c>
      <c r="D206" s="10">
        <v>45237</v>
      </c>
      <c r="E206" s="2" t="s">
        <v>225</v>
      </c>
      <c r="F206" s="2" t="s">
        <v>20</v>
      </c>
      <c r="G206" s="2">
        <v>43</v>
      </c>
      <c r="H206" s="2" t="s">
        <v>21</v>
      </c>
      <c r="I206" s="2">
        <v>1</v>
      </c>
      <c r="J206" s="2">
        <v>25</v>
      </c>
      <c r="K206" s="2">
        <v>25</v>
      </c>
      <c r="M206" s="2">
        <v>25</v>
      </c>
      <c r="N206" t="str" cm="1">
        <f t="array" ref="N206">IF(M206=Table5[[#This Row],[Total Amount]],"Correct",Check)</f>
        <v>Correct</v>
      </c>
    </row>
    <row r="207" spans="3:14" x14ac:dyDescent="0.25">
      <c r="C207" s="2">
        <v>206</v>
      </c>
      <c r="D207" s="10">
        <v>45143</v>
      </c>
      <c r="E207" s="2" t="s">
        <v>226</v>
      </c>
      <c r="F207" s="2" t="s">
        <v>17</v>
      </c>
      <c r="G207" s="2">
        <v>61</v>
      </c>
      <c r="H207" s="2" t="s">
        <v>21</v>
      </c>
      <c r="I207" s="2">
        <v>1</v>
      </c>
      <c r="J207" s="2">
        <v>25</v>
      </c>
      <c r="K207" s="2">
        <v>25</v>
      </c>
      <c r="M207" s="2">
        <v>25</v>
      </c>
      <c r="N207" t="str" cm="1">
        <f t="array" ref="N207">IF(M207=Table5[[#This Row],[Total Amount]],"Correct",Check)</f>
        <v>Correct</v>
      </c>
    </row>
    <row r="208" spans="3:14" x14ac:dyDescent="0.25">
      <c r="C208" s="2">
        <v>207</v>
      </c>
      <c r="D208" s="10">
        <v>45035</v>
      </c>
      <c r="E208" s="2" t="s">
        <v>227</v>
      </c>
      <c r="F208" s="2" t="s">
        <v>20</v>
      </c>
      <c r="G208" s="2">
        <v>42</v>
      </c>
      <c r="H208" s="2" t="s">
        <v>18</v>
      </c>
      <c r="I208" s="2">
        <v>2</v>
      </c>
      <c r="J208" s="2">
        <v>25</v>
      </c>
      <c r="K208" s="2">
        <v>50</v>
      </c>
      <c r="M208" s="2">
        <v>50</v>
      </c>
      <c r="N208" t="str" cm="1">
        <f t="array" ref="N208">IF(M208=Table5[[#This Row],[Total Amount]],"Correct",Check)</f>
        <v>Correct</v>
      </c>
    </row>
    <row r="209" spans="3:14" x14ac:dyDescent="0.25">
      <c r="C209" s="2">
        <v>208</v>
      </c>
      <c r="D209" s="10">
        <v>45203</v>
      </c>
      <c r="E209" s="2" t="s">
        <v>228</v>
      </c>
      <c r="F209" s="2" t="s">
        <v>20</v>
      </c>
      <c r="G209" s="2">
        <v>34</v>
      </c>
      <c r="H209" s="2" t="s">
        <v>23</v>
      </c>
      <c r="I209" s="2">
        <v>4</v>
      </c>
      <c r="J209" s="2">
        <v>50</v>
      </c>
      <c r="K209" s="2">
        <v>200</v>
      </c>
      <c r="M209" s="2">
        <v>200</v>
      </c>
      <c r="N209" t="str" cm="1">
        <f t="array" ref="N209">IF(M209=Table5[[#This Row],[Total Amount]],"Correct",Check)</f>
        <v>Correct</v>
      </c>
    </row>
    <row r="210" spans="3:14" x14ac:dyDescent="0.25">
      <c r="C210" s="2">
        <v>209</v>
      </c>
      <c r="D210" s="10">
        <v>45280</v>
      </c>
      <c r="E210" s="2" t="s">
        <v>229</v>
      </c>
      <c r="F210" s="2" t="s">
        <v>20</v>
      </c>
      <c r="G210" s="2">
        <v>30</v>
      </c>
      <c r="H210" s="2" t="s">
        <v>23</v>
      </c>
      <c r="I210" s="2">
        <v>4</v>
      </c>
      <c r="J210" s="2">
        <v>50</v>
      </c>
      <c r="K210" s="2">
        <v>200</v>
      </c>
      <c r="M210" s="2">
        <v>200</v>
      </c>
      <c r="N210" t="str" cm="1">
        <f t="array" ref="N210">IF(M210=Table5[[#This Row],[Total Amount]],"Correct",Check)</f>
        <v>Correct</v>
      </c>
    </row>
    <row r="211" spans="3:14" x14ac:dyDescent="0.25">
      <c r="C211" s="2">
        <v>210</v>
      </c>
      <c r="D211" s="10">
        <v>45029</v>
      </c>
      <c r="E211" s="2" t="s">
        <v>230</v>
      </c>
      <c r="F211" s="2" t="s">
        <v>17</v>
      </c>
      <c r="G211" s="2">
        <v>37</v>
      </c>
      <c r="H211" s="2" t="s">
        <v>23</v>
      </c>
      <c r="I211" s="2">
        <v>4</v>
      </c>
      <c r="J211" s="2">
        <v>50</v>
      </c>
      <c r="K211" s="2">
        <v>200</v>
      </c>
      <c r="M211" s="2">
        <v>200</v>
      </c>
      <c r="N211" t="str" cm="1">
        <f t="array" ref="N211">IF(M211=Table5[[#This Row],[Total Amount]],"Correct",Check)</f>
        <v>Correct</v>
      </c>
    </row>
    <row r="212" spans="3:14" x14ac:dyDescent="0.25">
      <c r="C212" s="2">
        <v>211</v>
      </c>
      <c r="D212" s="10">
        <v>45292</v>
      </c>
      <c r="E212" s="2" t="s">
        <v>231</v>
      </c>
      <c r="F212" s="2" t="s">
        <v>17</v>
      </c>
      <c r="G212" s="2">
        <v>42</v>
      </c>
      <c r="H212" s="2" t="s">
        <v>18</v>
      </c>
      <c r="I212" s="2">
        <v>3</v>
      </c>
      <c r="J212" s="2">
        <v>500</v>
      </c>
      <c r="K212" s="2">
        <v>1500</v>
      </c>
      <c r="M212" s="2">
        <v>1500</v>
      </c>
      <c r="N212" t="str" cm="1">
        <f t="array" ref="N212">IF(M212=Table5[[#This Row],[Total Amount]],"Correct",Check)</f>
        <v>Correct</v>
      </c>
    </row>
    <row r="213" spans="3:14" x14ac:dyDescent="0.25">
      <c r="C213" s="2">
        <v>212</v>
      </c>
      <c r="D213" s="10">
        <v>45086</v>
      </c>
      <c r="E213" s="2" t="s">
        <v>232</v>
      </c>
      <c r="F213" s="2" t="s">
        <v>17</v>
      </c>
      <c r="G213" s="2">
        <v>21</v>
      </c>
      <c r="H213" s="2" t="s">
        <v>21</v>
      </c>
      <c r="I213" s="2">
        <v>3</v>
      </c>
      <c r="J213" s="2">
        <v>500</v>
      </c>
      <c r="K213" s="2">
        <v>1500</v>
      </c>
      <c r="M213" s="2">
        <v>1500</v>
      </c>
      <c r="N213" t="str" cm="1">
        <f t="array" ref="N213">IF(M213=Table5[[#This Row],[Total Amount]],"Correct",Check)</f>
        <v>Correct</v>
      </c>
    </row>
    <row r="214" spans="3:14" x14ac:dyDescent="0.25">
      <c r="C214" s="2">
        <v>213</v>
      </c>
      <c r="D214" s="10">
        <v>45131</v>
      </c>
      <c r="E214" s="2" t="s">
        <v>233</v>
      </c>
      <c r="F214" s="2" t="s">
        <v>17</v>
      </c>
      <c r="G214" s="2">
        <v>27</v>
      </c>
      <c r="H214" s="2" t="s">
        <v>18</v>
      </c>
      <c r="I214" s="2">
        <v>3</v>
      </c>
      <c r="J214" s="2">
        <v>500</v>
      </c>
      <c r="K214" s="2">
        <v>1500</v>
      </c>
      <c r="M214" s="2">
        <v>1500</v>
      </c>
      <c r="N214" t="str" cm="1">
        <f t="array" ref="N214">IF(M214=Table5[[#This Row],[Total Amount]],"Correct",Check)</f>
        <v>Correct</v>
      </c>
    </row>
    <row r="215" spans="3:14" x14ac:dyDescent="0.25">
      <c r="C215" s="2">
        <v>214</v>
      </c>
      <c r="D215" s="10">
        <v>45270</v>
      </c>
      <c r="E215" s="2" t="s">
        <v>234</v>
      </c>
      <c r="F215" s="2" t="s">
        <v>17</v>
      </c>
      <c r="G215" s="2">
        <v>20</v>
      </c>
      <c r="H215" s="2" t="s">
        <v>18</v>
      </c>
      <c r="I215" s="2">
        <v>2</v>
      </c>
      <c r="J215" s="2">
        <v>30</v>
      </c>
      <c r="K215" s="2">
        <v>60</v>
      </c>
      <c r="M215" s="2">
        <v>60</v>
      </c>
      <c r="N215" t="str" cm="1">
        <f t="array" ref="N215">IF(M215=Table5[[#This Row],[Total Amount]],"Correct",Check)</f>
        <v>Correct</v>
      </c>
    </row>
    <row r="216" spans="3:14" x14ac:dyDescent="0.25">
      <c r="C216" s="2">
        <v>215</v>
      </c>
      <c r="D216" s="10">
        <v>45259</v>
      </c>
      <c r="E216" s="2" t="s">
        <v>235</v>
      </c>
      <c r="F216" s="2" t="s">
        <v>17</v>
      </c>
      <c r="G216" s="2">
        <v>58</v>
      </c>
      <c r="H216" s="2" t="s">
        <v>21</v>
      </c>
      <c r="I216" s="2">
        <v>3</v>
      </c>
      <c r="J216" s="2">
        <v>500</v>
      </c>
      <c r="K216" s="2">
        <v>1500</v>
      </c>
      <c r="M216" s="2">
        <v>1500</v>
      </c>
      <c r="N216" t="str" cm="1">
        <f t="array" ref="N216">IF(M216=Table5[[#This Row],[Total Amount]],"Correct",Check)</f>
        <v>Correct</v>
      </c>
    </row>
    <row r="217" spans="3:14" x14ac:dyDescent="0.25">
      <c r="C217" s="2">
        <v>216</v>
      </c>
      <c r="D217" s="10">
        <v>45118</v>
      </c>
      <c r="E217" s="2" t="s">
        <v>236</v>
      </c>
      <c r="F217" s="2" t="s">
        <v>17</v>
      </c>
      <c r="G217" s="2">
        <v>62</v>
      </c>
      <c r="H217" s="2" t="s">
        <v>23</v>
      </c>
      <c r="I217" s="2">
        <v>2</v>
      </c>
      <c r="J217" s="2">
        <v>50</v>
      </c>
      <c r="K217" s="2">
        <v>100</v>
      </c>
      <c r="M217" s="2">
        <v>100</v>
      </c>
      <c r="N217" t="str" cm="1">
        <f t="array" ref="N217">IF(M217=Table5[[#This Row],[Total Amount]],"Correct",Check)</f>
        <v>Correct</v>
      </c>
    </row>
    <row r="218" spans="3:14" x14ac:dyDescent="0.25">
      <c r="C218" s="2">
        <v>217</v>
      </c>
      <c r="D218" s="10">
        <v>45151</v>
      </c>
      <c r="E218" s="2" t="s">
        <v>237</v>
      </c>
      <c r="F218" s="2" t="s">
        <v>20</v>
      </c>
      <c r="G218" s="2">
        <v>35</v>
      </c>
      <c r="H218" s="2" t="s">
        <v>23</v>
      </c>
      <c r="I218" s="2">
        <v>4</v>
      </c>
      <c r="J218" s="2">
        <v>50</v>
      </c>
      <c r="K218" s="2">
        <v>200</v>
      </c>
      <c r="M218" s="2">
        <v>200</v>
      </c>
      <c r="N218" t="str" cm="1">
        <f t="array" ref="N218">IF(M218=Table5[[#This Row],[Total Amount]],"Correct",Check)</f>
        <v>Correct</v>
      </c>
    </row>
    <row r="219" spans="3:14" x14ac:dyDescent="0.25">
      <c r="C219" s="2">
        <v>218</v>
      </c>
      <c r="D219" s="10">
        <v>45191</v>
      </c>
      <c r="E219" s="2" t="s">
        <v>238</v>
      </c>
      <c r="F219" s="2" t="s">
        <v>17</v>
      </c>
      <c r="G219" s="2">
        <v>64</v>
      </c>
      <c r="H219" s="2" t="s">
        <v>18</v>
      </c>
      <c r="I219" s="2">
        <v>3</v>
      </c>
      <c r="J219" s="2">
        <v>30</v>
      </c>
      <c r="K219" s="2">
        <v>90</v>
      </c>
      <c r="M219" s="2">
        <v>90</v>
      </c>
      <c r="N219" t="str" cm="1">
        <f t="array" ref="N219">IF(M219=Table5[[#This Row],[Total Amount]],"Correct",Check)</f>
        <v>Correct</v>
      </c>
    </row>
    <row r="220" spans="3:14" x14ac:dyDescent="0.25">
      <c r="C220" s="2">
        <v>219</v>
      </c>
      <c r="D220" s="10">
        <v>45158</v>
      </c>
      <c r="E220" s="2" t="s">
        <v>239</v>
      </c>
      <c r="F220" s="2" t="s">
        <v>20</v>
      </c>
      <c r="G220" s="2">
        <v>53</v>
      </c>
      <c r="H220" s="2" t="s">
        <v>23</v>
      </c>
      <c r="I220" s="2">
        <v>3</v>
      </c>
      <c r="J220" s="2">
        <v>30</v>
      </c>
      <c r="K220" s="2">
        <v>90</v>
      </c>
      <c r="M220" s="2">
        <v>90</v>
      </c>
      <c r="N220" t="str" cm="1">
        <f t="array" ref="N220">IF(M220=Table5[[#This Row],[Total Amount]],"Correct",Check)</f>
        <v>Correct</v>
      </c>
    </row>
    <row r="221" spans="3:14" x14ac:dyDescent="0.25">
      <c r="C221" s="2">
        <v>220</v>
      </c>
      <c r="D221" s="10">
        <v>44988</v>
      </c>
      <c r="E221" s="2" t="s">
        <v>240</v>
      </c>
      <c r="F221" s="2" t="s">
        <v>17</v>
      </c>
      <c r="G221" s="2">
        <v>64</v>
      </c>
      <c r="H221" s="2" t="s">
        <v>18</v>
      </c>
      <c r="I221" s="2">
        <v>1</v>
      </c>
      <c r="J221" s="2">
        <v>500</v>
      </c>
      <c r="K221" s="2">
        <v>500</v>
      </c>
      <c r="M221" s="2">
        <v>500</v>
      </c>
      <c r="N221" t="str" cm="1">
        <f t="array" ref="N221">IF(M221=Table5[[#This Row],[Total Amount]],"Correct",Check)</f>
        <v>Correct</v>
      </c>
    </row>
    <row r="222" spans="3:14" x14ac:dyDescent="0.25">
      <c r="C222" s="2">
        <v>221</v>
      </c>
      <c r="D222" s="10">
        <v>45053</v>
      </c>
      <c r="E222" s="2" t="s">
        <v>241</v>
      </c>
      <c r="F222" s="2" t="s">
        <v>17</v>
      </c>
      <c r="G222" s="2">
        <v>39</v>
      </c>
      <c r="H222" s="2" t="s">
        <v>18</v>
      </c>
      <c r="I222" s="2">
        <v>2</v>
      </c>
      <c r="J222" s="2">
        <v>300</v>
      </c>
      <c r="K222" s="2">
        <v>600</v>
      </c>
      <c r="M222" s="2">
        <v>600</v>
      </c>
      <c r="N222" t="str" cm="1">
        <f t="array" ref="N222">IF(M222=Table5[[#This Row],[Total Amount]],"Correct",Check)</f>
        <v>Correct</v>
      </c>
    </row>
    <row r="223" spans="3:14" x14ac:dyDescent="0.25">
      <c r="C223" s="2">
        <v>222</v>
      </c>
      <c r="D223" s="10">
        <v>45042</v>
      </c>
      <c r="E223" s="2" t="s">
        <v>242</v>
      </c>
      <c r="F223" s="2" t="s">
        <v>17</v>
      </c>
      <c r="G223" s="2">
        <v>51</v>
      </c>
      <c r="H223" s="2" t="s">
        <v>21</v>
      </c>
      <c r="I223" s="2">
        <v>4</v>
      </c>
      <c r="J223" s="2">
        <v>30</v>
      </c>
      <c r="K223" s="2">
        <v>120</v>
      </c>
      <c r="M223" s="2">
        <v>120</v>
      </c>
      <c r="N223" t="str" cm="1">
        <f t="array" ref="N223">IF(M223=Table5[[#This Row],[Total Amount]],"Correct",Check)</f>
        <v>Correct</v>
      </c>
    </row>
    <row r="224" spans="3:14" x14ac:dyDescent="0.25">
      <c r="C224" s="2">
        <v>223</v>
      </c>
      <c r="D224" s="10">
        <v>44959</v>
      </c>
      <c r="E224" s="2" t="s">
        <v>243</v>
      </c>
      <c r="F224" s="2" t="s">
        <v>20</v>
      </c>
      <c r="G224" s="2">
        <v>64</v>
      </c>
      <c r="H224" s="2" t="s">
        <v>21</v>
      </c>
      <c r="I224" s="2">
        <v>1</v>
      </c>
      <c r="J224" s="2">
        <v>25</v>
      </c>
      <c r="K224" s="2">
        <v>25</v>
      </c>
      <c r="M224" s="2">
        <v>25</v>
      </c>
      <c r="N224" t="str" cm="1">
        <f t="array" ref="N224">IF(M224=Table5[[#This Row],[Total Amount]],"Correct",Check)</f>
        <v>Correct</v>
      </c>
    </row>
    <row r="225" spans="3:14" x14ac:dyDescent="0.25">
      <c r="C225" s="2">
        <v>224</v>
      </c>
      <c r="D225" s="10">
        <v>45100</v>
      </c>
      <c r="E225" s="2" t="s">
        <v>244</v>
      </c>
      <c r="F225" s="2" t="s">
        <v>20</v>
      </c>
      <c r="G225" s="2">
        <v>25</v>
      </c>
      <c r="H225" s="2" t="s">
        <v>21</v>
      </c>
      <c r="I225" s="2">
        <v>1</v>
      </c>
      <c r="J225" s="2">
        <v>50</v>
      </c>
      <c r="K225" s="2">
        <v>50</v>
      </c>
      <c r="M225" s="2">
        <v>50</v>
      </c>
      <c r="N225" t="str" cm="1">
        <f t="array" ref="N225">IF(M225=Table5[[#This Row],[Total Amount]],"Correct",Check)</f>
        <v>Correct</v>
      </c>
    </row>
    <row r="226" spans="3:14" x14ac:dyDescent="0.25">
      <c r="C226" s="2">
        <v>225</v>
      </c>
      <c r="D226" s="10">
        <v>44937</v>
      </c>
      <c r="E226" s="2" t="s">
        <v>245</v>
      </c>
      <c r="F226" s="2" t="s">
        <v>20</v>
      </c>
      <c r="G226" s="2">
        <v>57</v>
      </c>
      <c r="H226" s="2" t="s">
        <v>18</v>
      </c>
      <c r="I226" s="2">
        <v>4</v>
      </c>
      <c r="J226" s="2">
        <v>25</v>
      </c>
      <c r="K226" s="2">
        <v>100</v>
      </c>
      <c r="M226" s="2">
        <v>100</v>
      </c>
      <c r="N226" t="str" cm="1">
        <f t="array" ref="N226">IF(M226=Table5[[#This Row],[Total Amount]],"Correct",Check)</f>
        <v>Correct</v>
      </c>
    </row>
    <row r="227" spans="3:14" x14ac:dyDescent="0.25">
      <c r="C227" s="2">
        <v>226</v>
      </c>
      <c r="D227" s="10">
        <v>45228</v>
      </c>
      <c r="E227" s="2" t="s">
        <v>246</v>
      </c>
      <c r="F227" s="2" t="s">
        <v>20</v>
      </c>
      <c r="G227" s="2">
        <v>61</v>
      </c>
      <c r="H227" s="2" t="s">
        <v>21</v>
      </c>
      <c r="I227" s="2">
        <v>1</v>
      </c>
      <c r="J227" s="2">
        <v>50</v>
      </c>
      <c r="K227" s="2">
        <v>50</v>
      </c>
      <c r="M227" s="2">
        <v>50</v>
      </c>
      <c r="N227" t="str" cm="1">
        <f t="array" ref="N227">IF(M227=Table5[[#This Row],[Total Amount]],"Correct",Check)</f>
        <v>Correct</v>
      </c>
    </row>
    <row r="228" spans="3:14" x14ac:dyDescent="0.25">
      <c r="C228" s="2">
        <v>227</v>
      </c>
      <c r="D228" s="10">
        <v>45210</v>
      </c>
      <c r="E228" s="2" t="s">
        <v>247</v>
      </c>
      <c r="F228" s="2" t="s">
        <v>17</v>
      </c>
      <c r="G228" s="2">
        <v>36</v>
      </c>
      <c r="H228" s="2" t="s">
        <v>23</v>
      </c>
      <c r="I228" s="2">
        <v>2</v>
      </c>
      <c r="J228" s="2">
        <v>50</v>
      </c>
      <c r="K228" s="2">
        <v>100</v>
      </c>
      <c r="M228" s="2">
        <v>100</v>
      </c>
      <c r="N228" t="str" cm="1">
        <f t="array" ref="N228">IF(M228=Table5[[#This Row],[Total Amount]],"Correct",Check)</f>
        <v>Correct</v>
      </c>
    </row>
    <row r="229" spans="3:14" x14ac:dyDescent="0.25">
      <c r="C229" s="2">
        <v>228</v>
      </c>
      <c r="D229" s="10">
        <v>45044</v>
      </c>
      <c r="E229" s="2" t="s">
        <v>248</v>
      </c>
      <c r="F229" s="2" t="s">
        <v>20</v>
      </c>
      <c r="G229" s="2">
        <v>59</v>
      </c>
      <c r="H229" s="2" t="s">
        <v>23</v>
      </c>
      <c r="I229" s="2">
        <v>2</v>
      </c>
      <c r="J229" s="2">
        <v>30</v>
      </c>
      <c r="K229" s="2">
        <v>60</v>
      </c>
      <c r="M229" s="2">
        <v>60</v>
      </c>
      <c r="N229" t="str" cm="1">
        <f t="array" ref="N229">IF(M229=Table5[[#This Row],[Total Amount]],"Correct",Check)</f>
        <v>Correct</v>
      </c>
    </row>
    <row r="230" spans="3:14" x14ac:dyDescent="0.25">
      <c r="C230" s="2">
        <v>229</v>
      </c>
      <c r="D230" s="10">
        <v>45228</v>
      </c>
      <c r="E230" s="2" t="s">
        <v>249</v>
      </c>
      <c r="F230" s="2" t="s">
        <v>17</v>
      </c>
      <c r="G230" s="2">
        <v>58</v>
      </c>
      <c r="H230" s="2" t="s">
        <v>18</v>
      </c>
      <c r="I230" s="2">
        <v>3</v>
      </c>
      <c r="J230" s="2">
        <v>30</v>
      </c>
      <c r="K230" s="2">
        <v>90</v>
      </c>
      <c r="M230" s="2">
        <v>90</v>
      </c>
      <c r="N230" t="str" cm="1">
        <f t="array" ref="N230">IF(M230=Table5[[#This Row],[Total Amount]],"Correct",Check)</f>
        <v>Correct</v>
      </c>
    </row>
    <row r="231" spans="3:14" x14ac:dyDescent="0.25">
      <c r="C231" s="2">
        <v>230</v>
      </c>
      <c r="D231" s="10">
        <v>45039</v>
      </c>
      <c r="E231" s="2" t="s">
        <v>250</v>
      </c>
      <c r="F231" s="2" t="s">
        <v>17</v>
      </c>
      <c r="G231" s="2">
        <v>54</v>
      </c>
      <c r="H231" s="2" t="s">
        <v>18</v>
      </c>
      <c r="I231" s="2">
        <v>1</v>
      </c>
      <c r="J231" s="2">
        <v>25</v>
      </c>
      <c r="K231" s="2">
        <v>25</v>
      </c>
      <c r="M231" s="2">
        <v>25</v>
      </c>
      <c r="N231" t="str" cm="1">
        <f t="array" ref="N231">IF(M231=Table5[[#This Row],[Total Amount]],"Correct",Check)</f>
        <v>Correct</v>
      </c>
    </row>
    <row r="232" spans="3:14" x14ac:dyDescent="0.25">
      <c r="C232" s="2">
        <v>231</v>
      </c>
      <c r="D232" s="10">
        <v>44930</v>
      </c>
      <c r="E232" s="2" t="s">
        <v>251</v>
      </c>
      <c r="F232" s="2" t="s">
        <v>20</v>
      </c>
      <c r="G232" s="2">
        <v>23</v>
      </c>
      <c r="H232" s="2" t="s">
        <v>21</v>
      </c>
      <c r="I232" s="2">
        <v>3</v>
      </c>
      <c r="J232" s="2">
        <v>50</v>
      </c>
      <c r="K232" s="2">
        <v>150</v>
      </c>
      <c r="M232" s="2">
        <v>150</v>
      </c>
      <c r="N232" t="str" cm="1">
        <f t="array" ref="N232">IF(M232=Table5[[#This Row],[Total Amount]],"Correct",Check)</f>
        <v>Correct</v>
      </c>
    </row>
    <row r="233" spans="3:14" x14ac:dyDescent="0.25">
      <c r="C233" s="2">
        <v>232</v>
      </c>
      <c r="D233" s="10">
        <v>44963</v>
      </c>
      <c r="E233" s="2" t="s">
        <v>252</v>
      </c>
      <c r="F233" s="2" t="s">
        <v>20</v>
      </c>
      <c r="G233" s="2">
        <v>43</v>
      </c>
      <c r="H233" s="2" t="s">
        <v>18</v>
      </c>
      <c r="I233" s="2">
        <v>1</v>
      </c>
      <c r="J233" s="2">
        <v>25</v>
      </c>
      <c r="K233" s="2">
        <v>25</v>
      </c>
      <c r="M233" s="2">
        <v>25</v>
      </c>
      <c r="N233" t="str" cm="1">
        <f t="array" ref="N233">IF(M233=Table5[[#This Row],[Total Amount]],"Correct",Check)</f>
        <v>Correct</v>
      </c>
    </row>
    <row r="234" spans="3:14" x14ac:dyDescent="0.25">
      <c r="C234" s="2">
        <v>233</v>
      </c>
      <c r="D234" s="10">
        <v>45289</v>
      </c>
      <c r="E234" s="2" t="s">
        <v>253</v>
      </c>
      <c r="F234" s="2" t="s">
        <v>20</v>
      </c>
      <c r="G234" s="2">
        <v>51</v>
      </c>
      <c r="H234" s="2" t="s">
        <v>18</v>
      </c>
      <c r="I234" s="2">
        <v>2</v>
      </c>
      <c r="J234" s="2">
        <v>300</v>
      </c>
      <c r="K234" s="2">
        <v>600</v>
      </c>
      <c r="M234" s="2">
        <v>600</v>
      </c>
      <c r="N234" t="str" cm="1">
        <f t="array" ref="N234">IF(M234=Table5[[#This Row],[Total Amount]],"Correct",Check)</f>
        <v>Correct</v>
      </c>
    </row>
    <row r="235" spans="3:14" x14ac:dyDescent="0.25">
      <c r="C235" s="2">
        <v>234</v>
      </c>
      <c r="D235" s="10">
        <v>45250</v>
      </c>
      <c r="E235" s="2" t="s">
        <v>254</v>
      </c>
      <c r="F235" s="2" t="s">
        <v>20</v>
      </c>
      <c r="G235" s="2">
        <v>62</v>
      </c>
      <c r="H235" s="2" t="s">
        <v>23</v>
      </c>
      <c r="I235" s="2">
        <v>2</v>
      </c>
      <c r="J235" s="2">
        <v>25</v>
      </c>
      <c r="K235" s="2">
        <v>50</v>
      </c>
      <c r="M235" s="2">
        <v>50</v>
      </c>
      <c r="N235" t="str" cm="1">
        <f t="array" ref="N235">IF(M235=Table5[[#This Row],[Total Amount]],"Correct",Check)</f>
        <v>Correct</v>
      </c>
    </row>
    <row r="236" spans="3:14" x14ac:dyDescent="0.25">
      <c r="C236" s="2">
        <v>235</v>
      </c>
      <c r="D236" s="10">
        <v>44957</v>
      </c>
      <c r="E236" s="2" t="s">
        <v>255</v>
      </c>
      <c r="F236" s="2" t="s">
        <v>20</v>
      </c>
      <c r="G236" s="2">
        <v>23</v>
      </c>
      <c r="H236" s="2" t="s">
        <v>23</v>
      </c>
      <c r="I236" s="2">
        <v>2</v>
      </c>
      <c r="J236" s="2">
        <v>500</v>
      </c>
      <c r="K236" s="2">
        <v>1000</v>
      </c>
      <c r="M236" s="2">
        <v>1000</v>
      </c>
      <c r="N236" t="str" cm="1">
        <f t="array" ref="N236">IF(M236=Table5[[#This Row],[Total Amount]],"Correct",Check)</f>
        <v>Correct</v>
      </c>
    </row>
    <row r="237" spans="3:14" x14ac:dyDescent="0.25">
      <c r="C237" s="2">
        <v>236</v>
      </c>
      <c r="D237" s="10">
        <v>45044</v>
      </c>
      <c r="E237" s="2" t="s">
        <v>256</v>
      </c>
      <c r="F237" s="2" t="s">
        <v>20</v>
      </c>
      <c r="G237" s="2">
        <v>54</v>
      </c>
      <c r="H237" s="2" t="s">
        <v>21</v>
      </c>
      <c r="I237" s="2">
        <v>1</v>
      </c>
      <c r="J237" s="2">
        <v>25</v>
      </c>
      <c r="K237" s="2">
        <v>25</v>
      </c>
      <c r="M237" s="2">
        <v>25</v>
      </c>
      <c r="N237" t="str" cm="1">
        <f t="array" ref="N237">IF(M237=Table5[[#This Row],[Total Amount]],"Correct",Check)</f>
        <v>Correct</v>
      </c>
    </row>
    <row r="238" spans="3:14" x14ac:dyDescent="0.25">
      <c r="C238" s="2">
        <v>237</v>
      </c>
      <c r="D238" s="10">
        <v>44961</v>
      </c>
      <c r="E238" s="2" t="s">
        <v>257</v>
      </c>
      <c r="F238" s="2" t="s">
        <v>20</v>
      </c>
      <c r="G238" s="2">
        <v>50</v>
      </c>
      <c r="H238" s="2" t="s">
        <v>18</v>
      </c>
      <c r="I238" s="2">
        <v>2</v>
      </c>
      <c r="J238" s="2">
        <v>500</v>
      </c>
      <c r="K238" s="2">
        <v>1000</v>
      </c>
      <c r="M238" s="2">
        <v>1000</v>
      </c>
      <c r="N238" t="str" cm="1">
        <f t="array" ref="N238">IF(M238=Table5[[#This Row],[Total Amount]],"Correct",Check)</f>
        <v>Correct</v>
      </c>
    </row>
    <row r="239" spans="3:14" x14ac:dyDescent="0.25">
      <c r="C239" s="2">
        <v>238</v>
      </c>
      <c r="D239" s="10">
        <v>44943</v>
      </c>
      <c r="E239" s="2" t="s">
        <v>258</v>
      </c>
      <c r="F239" s="2" t="s">
        <v>20</v>
      </c>
      <c r="G239" s="2">
        <v>39</v>
      </c>
      <c r="H239" s="2" t="s">
        <v>18</v>
      </c>
      <c r="I239" s="2">
        <v>1</v>
      </c>
      <c r="J239" s="2">
        <v>500</v>
      </c>
      <c r="K239" s="2">
        <v>500</v>
      </c>
      <c r="M239" s="2">
        <v>500</v>
      </c>
      <c r="N239" t="str" cm="1">
        <f t="array" ref="N239">IF(M239=Table5[[#This Row],[Total Amount]],"Correct",Check)</f>
        <v>Correct</v>
      </c>
    </row>
    <row r="240" spans="3:14" x14ac:dyDescent="0.25">
      <c r="C240" s="2">
        <v>239</v>
      </c>
      <c r="D240" s="10">
        <v>45096</v>
      </c>
      <c r="E240" s="2" t="s">
        <v>259</v>
      </c>
      <c r="F240" s="2" t="s">
        <v>17</v>
      </c>
      <c r="G240" s="2">
        <v>38</v>
      </c>
      <c r="H240" s="2" t="s">
        <v>23</v>
      </c>
      <c r="I240" s="2">
        <v>3</v>
      </c>
      <c r="J240" s="2">
        <v>500</v>
      </c>
      <c r="K240" s="2">
        <v>1500</v>
      </c>
      <c r="M240" s="2">
        <v>1500</v>
      </c>
      <c r="N240" t="str" cm="1">
        <f t="array" ref="N240">IF(M240=Table5[[#This Row],[Total Amount]],"Correct",Check)</f>
        <v>Correct</v>
      </c>
    </row>
    <row r="241" spans="3:14" x14ac:dyDescent="0.25">
      <c r="C241" s="2">
        <v>240</v>
      </c>
      <c r="D241" s="10">
        <v>44963</v>
      </c>
      <c r="E241" s="2" t="s">
        <v>260</v>
      </c>
      <c r="F241" s="2" t="s">
        <v>20</v>
      </c>
      <c r="G241" s="2">
        <v>23</v>
      </c>
      <c r="H241" s="2" t="s">
        <v>18</v>
      </c>
      <c r="I241" s="2">
        <v>1</v>
      </c>
      <c r="J241" s="2">
        <v>300</v>
      </c>
      <c r="K241" s="2">
        <v>300</v>
      </c>
      <c r="M241" s="2">
        <v>300</v>
      </c>
      <c r="N241" t="str" cm="1">
        <f t="array" ref="N241">IF(M241=Table5[[#This Row],[Total Amount]],"Correct",Check)</f>
        <v>Correct</v>
      </c>
    </row>
    <row r="242" spans="3:14" x14ac:dyDescent="0.25">
      <c r="C242" s="2">
        <v>241</v>
      </c>
      <c r="D242" s="10">
        <v>45190</v>
      </c>
      <c r="E242" s="2" t="s">
        <v>261</v>
      </c>
      <c r="F242" s="2" t="s">
        <v>20</v>
      </c>
      <c r="G242" s="2">
        <v>23</v>
      </c>
      <c r="H242" s="2" t="s">
        <v>23</v>
      </c>
      <c r="I242" s="2">
        <v>3</v>
      </c>
      <c r="J242" s="2">
        <v>25</v>
      </c>
      <c r="K242" s="2">
        <v>75</v>
      </c>
      <c r="M242" s="2">
        <v>75</v>
      </c>
      <c r="N242" t="str" cm="1">
        <f t="array" ref="N242">IF(M242=Table5[[#This Row],[Total Amount]],"Correct",Check)</f>
        <v>Correct</v>
      </c>
    </row>
    <row r="243" spans="3:14" x14ac:dyDescent="0.25">
      <c r="C243" s="2">
        <v>242</v>
      </c>
      <c r="D243" s="10">
        <v>45048</v>
      </c>
      <c r="E243" s="2" t="s">
        <v>262</v>
      </c>
      <c r="F243" s="2" t="s">
        <v>17</v>
      </c>
      <c r="G243" s="2">
        <v>21</v>
      </c>
      <c r="H243" s="2" t="s">
        <v>21</v>
      </c>
      <c r="I243" s="2">
        <v>1</v>
      </c>
      <c r="J243" s="2">
        <v>25</v>
      </c>
      <c r="K243" s="2">
        <v>25</v>
      </c>
      <c r="M243" s="2">
        <v>25</v>
      </c>
      <c r="N243" t="str" cm="1">
        <f t="array" ref="N243">IF(M243=Table5[[#This Row],[Total Amount]],"Correct",Check)</f>
        <v>Correct</v>
      </c>
    </row>
    <row r="244" spans="3:14" x14ac:dyDescent="0.25">
      <c r="C244" s="2">
        <v>243</v>
      </c>
      <c r="D244" s="10">
        <v>45069</v>
      </c>
      <c r="E244" s="2" t="s">
        <v>263</v>
      </c>
      <c r="F244" s="2" t="s">
        <v>20</v>
      </c>
      <c r="G244" s="2">
        <v>47</v>
      </c>
      <c r="H244" s="2" t="s">
        <v>23</v>
      </c>
      <c r="I244" s="2">
        <v>3</v>
      </c>
      <c r="J244" s="2">
        <v>300</v>
      </c>
      <c r="K244" s="2">
        <v>900</v>
      </c>
      <c r="M244" s="2">
        <v>900</v>
      </c>
      <c r="N244" t="str" cm="1">
        <f t="array" ref="N244">IF(M244=Table5[[#This Row],[Total Amount]],"Correct",Check)</f>
        <v>Correct</v>
      </c>
    </row>
    <row r="245" spans="3:14" x14ac:dyDescent="0.25">
      <c r="C245" s="2">
        <v>244</v>
      </c>
      <c r="D245" s="10">
        <v>45269</v>
      </c>
      <c r="E245" s="2" t="s">
        <v>264</v>
      </c>
      <c r="F245" s="2" t="s">
        <v>17</v>
      </c>
      <c r="G245" s="2">
        <v>28</v>
      </c>
      <c r="H245" s="2" t="s">
        <v>18</v>
      </c>
      <c r="I245" s="2">
        <v>2</v>
      </c>
      <c r="J245" s="2">
        <v>50</v>
      </c>
      <c r="K245" s="2">
        <v>100</v>
      </c>
      <c r="M245" s="2">
        <v>100</v>
      </c>
      <c r="N245" t="str" cm="1">
        <f t="array" ref="N245">IF(M245=Table5[[#This Row],[Total Amount]],"Correct",Check)</f>
        <v>Correct</v>
      </c>
    </row>
    <row r="246" spans="3:14" x14ac:dyDescent="0.25">
      <c r="C246" s="2">
        <v>245</v>
      </c>
      <c r="D246" s="10">
        <v>45175</v>
      </c>
      <c r="E246" s="2" t="s">
        <v>265</v>
      </c>
      <c r="F246" s="2" t="s">
        <v>17</v>
      </c>
      <c r="G246" s="2">
        <v>47</v>
      </c>
      <c r="H246" s="2" t="s">
        <v>21</v>
      </c>
      <c r="I246" s="2">
        <v>3</v>
      </c>
      <c r="J246" s="2">
        <v>30</v>
      </c>
      <c r="K246" s="2">
        <v>90</v>
      </c>
      <c r="M246" s="2">
        <v>90</v>
      </c>
      <c r="N246" t="str" cm="1">
        <f t="array" ref="N246">IF(M246=Table5[[#This Row],[Total Amount]],"Correct",Check)</f>
        <v>Correct</v>
      </c>
    </row>
    <row r="247" spans="3:14" x14ac:dyDescent="0.25">
      <c r="C247" s="2">
        <v>246</v>
      </c>
      <c r="D247" s="10">
        <v>45036</v>
      </c>
      <c r="E247" s="2" t="s">
        <v>266</v>
      </c>
      <c r="F247" s="2" t="s">
        <v>20</v>
      </c>
      <c r="G247" s="2">
        <v>48</v>
      </c>
      <c r="H247" s="2" t="s">
        <v>23</v>
      </c>
      <c r="I247" s="2">
        <v>2</v>
      </c>
      <c r="J247" s="2">
        <v>25</v>
      </c>
      <c r="K247" s="2">
        <v>50</v>
      </c>
      <c r="M247" s="2">
        <v>50</v>
      </c>
      <c r="N247" t="str" cm="1">
        <f t="array" ref="N247">IF(M247=Table5[[#This Row],[Total Amount]],"Correct",Check)</f>
        <v>Correct</v>
      </c>
    </row>
    <row r="248" spans="3:14" x14ac:dyDescent="0.25">
      <c r="C248" s="2">
        <v>247</v>
      </c>
      <c r="D248" s="10">
        <v>45203</v>
      </c>
      <c r="E248" s="2" t="s">
        <v>267</v>
      </c>
      <c r="F248" s="2" t="s">
        <v>17</v>
      </c>
      <c r="G248" s="2">
        <v>41</v>
      </c>
      <c r="H248" s="2" t="s">
        <v>23</v>
      </c>
      <c r="I248" s="2">
        <v>2</v>
      </c>
      <c r="J248" s="2">
        <v>30</v>
      </c>
      <c r="K248" s="2">
        <v>60</v>
      </c>
      <c r="M248" s="2">
        <v>60</v>
      </c>
      <c r="N248" t="str" cm="1">
        <f t="array" ref="N248">IF(M248=Table5[[#This Row],[Total Amount]],"Correct",Check)</f>
        <v>Correct</v>
      </c>
    </row>
    <row r="249" spans="3:14" x14ac:dyDescent="0.25">
      <c r="C249" s="2">
        <v>248</v>
      </c>
      <c r="D249" s="10">
        <v>44994</v>
      </c>
      <c r="E249" s="2" t="s">
        <v>268</v>
      </c>
      <c r="F249" s="2" t="s">
        <v>17</v>
      </c>
      <c r="G249" s="2">
        <v>26</v>
      </c>
      <c r="H249" s="2" t="s">
        <v>21</v>
      </c>
      <c r="I249" s="2">
        <v>3</v>
      </c>
      <c r="J249" s="2">
        <v>300</v>
      </c>
      <c r="K249" s="2">
        <v>900</v>
      </c>
      <c r="M249" s="2">
        <v>900</v>
      </c>
      <c r="N249" t="str" cm="1">
        <f t="array" ref="N249">IF(M249=Table5[[#This Row],[Total Amount]],"Correct",Check)</f>
        <v>Correct</v>
      </c>
    </row>
    <row r="250" spans="3:14" x14ac:dyDescent="0.25">
      <c r="C250" s="2">
        <v>249</v>
      </c>
      <c r="D250" s="10">
        <v>45219</v>
      </c>
      <c r="E250" s="2" t="s">
        <v>269</v>
      </c>
      <c r="F250" s="2" t="s">
        <v>17</v>
      </c>
      <c r="G250" s="2">
        <v>20</v>
      </c>
      <c r="H250" s="2" t="s">
        <v>21</v>
      </c>
      <c r="I250" s="2">
        <v>1</v>
      </c>
      <c r="J250" s="2">
        <v>50</v>
      </c>
      <c r="K250" s="2">
        <v>50</v>
      </c>
      <c r="M250" s="2">
        <v>50</v>
      </c>
      <c r="N250" t="str" cm="1">
        <f t="array" ref="N250">IF(M250=Table5[[#This Row],[Total Amount]],"Correct",Check)</f>
        <v>Correct</v>
      </c>
    </row>
    <row r="251" spans="3:14" x14ac:dyDescent="0.25">
      <c r="C251" s="2">
        <v>250</v>
      </c>
      <c r="D251" s="10">
        <v>45222</v>
      </c>
      <c r="E251" s="2" t="s">
        <v>270</v>
      </c>
      <c r="F251" s="2" t="s">
        <v>17</v>
      </c>
      <c r="G251" s="2">
        <v>48</v>
      </c>
      <c r="H251" s="2" t="s">
        <v>23</v>
      </c>
      <c r="I251" s="2">
        <v>1</v>
      </c>
      <c r="J251" s="2">
        <v>50</v>
      </c>
      <c r="K251" s="2">
        <v>50</v>
      </c>
      <c r="M251" s="2">
        <v>50</v>
      </c>
      <c r="N251" t="str" cm="1">
        <f t="array" ref="N251">IF(M251=Table5[[#This Row],[Total Amount]],"Correct",Check)</f>
        <v>Correct</v>
      </c>
    </row>
    <row r="252" spans="3:14" x14ac:dyDescent="0.25">
      <c r="C252" s="2">
        <v>251</v>
      </c>
      <c r="D252" s="10">
        <v>45169</v>
      </c>
      <c r="E252" s="2" t="s">
        <v>271</v>
      </c>
      <c r="F252" s="2" t="s">
        <v>20</v>
      </c>
      <c r="G252" s="2">
        <v>57</v>
      </c>
      <c r="H252" s="2" t="s">
        <v>18</v>
      </c>
      <c r="I252" s="2">
        <v>4</v>
      </c>
      <c r="J252" s="2">
        <v>50</v>
      </c>
      <c r="K252" s="2">
        <v>200</v>
      </c>
      <c r="M252" s="2">
        <v>200</v>
      </c>
      <c r="N252" t="str" cm="1">
        <f t="array" ref="N252">IF(M252=Table5[[#This Row],[Total Amount]],"Correct",Check)</f>
        <v>Correct</v>
      </c>
    </row>
    <row r="253" spans="3:14" x14ac:dyDescent="0.25">
      <c r="C253" s="2">
        <v>252</v>
      </c>
      <c r="D253" s="10">
        <v>45051</v>
      </c>
      <c r="E253" s="2" t="s">
        <v>272</v>
      </c>
      <c r="F253" s="2" t="s">
        <v>17</v>
      </c>
      <c r="G253" s="2">
        <v>54</v>
      </c>
      <c r="H253" s="2" t="s">
        <v>23</v>
      </c>
      <c r="I253" s="2">
        <v>1</v>
      </c>
      <c r="J253" s="2">
        <v>300</v>
      </c>
      <c r="K253" s="2">
        <v>300</v>
      </c>
      <c r="M253" s="2">
        <v>300</v>
      </c>
      <c r="N253" t="str" cm="1">
        <f t="array" ref="N253">IF(M253=Table5[[#This Row],[Total Amount]],"Correct",Check)</f>
        <v>Correct</v>
      </c>
    </row>
    <row r="254" spans="3:14" x14ac:dyDescent="0.25">
      <c r="C254" s="2">
        <v>253</v>
      </c>
      <c r="D254" s="10">
        <v>45169</v>
      </c>
      <c r="E254" s="2" t="s">
        <v>273</v>
      </c>
      <c r="F254" s="2" t="s">
        <v>20</v>
      </c>
      <c r="G254" s="2">
        <v>53</v>
      </c>
      <c r="H254" s="2" t="s">
        <v>21</v>
      </c>
      <c r="I254" s="2">
        <v>4</v>
      </c>
      <c r="J254" s="2">
        <v>500</v>
      </c>
      <c r="K254" s="2">
        <v>2000</v>
      </c>
      <c r="M254" s="2">
        <v>2000</v>
      </c>
      <c r="N254" t="str" cm="1">
        <f t="array" ref="N254">IF(M254=Table5[[#This Row],[Total Amount]],"Correct",Check)</f>
        <v>Correct</v>
      </c>
    </row>
    <row r="255" spans="3:14" x14ac:dyDescent="0.25">
      <c r="C255" s="2">
        <v>254</v>
      </c>
      <c r="D255" s="10">
        <v>45135</v>
      </c>
      <c r="E255" s="2" t="s">
        <v>274</v>
      </c>
      <c r="F255" s="2" t="s">
        <v>17</v>
      </c>
      <c r="G255" s="2">
        <v>41</v>
      </c>
      <c r="H255" s="2" t="s">
        <v>23</v>
      </c>
      <c r="I255" s="2">
        <v>1</v>
      </c>
      <c r="J255" s="2">
        <v>500</v>
      </c>
      <c r="K255" s="2">
        <v>500</v>
      </c>
      <c r="M255" s="2">
        <v>500</v>
      </c>
      <c r="N255" t="str" cm="1">
        <f t="array" ref="N255">IF(M255=Table5[[#This Row],[Total Amount]],"Correct",Check)</f>
        <v>Correct</v>
      </c>
    </row>
    <row r="256" spans="3:14" x14ac:dyDescent="0.25">
      <c r="C256" s="2">
        <v>255</v>
      </c>
      <c r="D256" s="10">
        <v>45024</v>
      </c>
      <c r="E256" s="2" t="s">
        <v>275</v>
      </c>
      <c r="F256" s="2" t="s">
        <v>17</v>
      </c>
      <c r="G256" s="2">
        <v>48</v>
      </c>
      <c r="H256" s="2" t="s">
        <v>21</v>
      </c>
      <c r="I256" s="2">
        <v>1</v>
      </c>
      <c r="J256" s="2">
        <v>30</v>
      </c>
      <c r="K256" s="2">
        <v>30</v>
      </c>
      <c r="M256" s="2">
        <v>30</v>
      </c>
      <c r="N256" t="str" cm="1">
        <f t="array" ref="N256">IF(M256=Table5[[#This Row],[Total Amount]],"Correct",Check)</f>
        <v>Correct</v>
      </c>
    </row>
    <row r="257" spans="3:14" x14ac:dyDescent="0.25">
      <c r="C257" s="2">
        <v>256</v>
      </c>
      <c r="D257" s="10">
        <v>44975</v>
      </c>
      <c r="E257" s="2" t="s">
        <v>276</v>
      </c>
      <c r="F257" s="2" t="s">
        <v>17</v>
      </c>
      <c r="G257" s="2">
        <v>23</v>
      </c>
      <c r="H257" s="2" t="s">
        <v>21</v>
      </c>
      <c r="I257" s="2">
        <v>2</v>
      </c>
      <c r="J257" s="2">
        <v>500</v>
      </c>
      <c r="K257" s="2">
        <v>1000</v>
      </c>
      <c r="M257" s="2">
        <v>1000</v>
      </c>
      <c r="N257" t="str" cm="1">
        <f t="array" ref="N257">IF(M257=Table5[[#This Row],[Total Amount]],"Correct",Check)</f>
        <v>Correct</v>
      </c>
    </row>
    <row r="258" spans="3:14" x14ac:dyDescent="0.25">
      <c r="C258" s="2">
        <v>257</v>
      </c>
      <c r="D258" s="10">
        <v>44976</v>
      </c>
      <c r="E258" s="2" t="s">
        <v>277</v>
      </c>
      <c r="F258" s="2" t="s">
        <v>17</v>
      </c>
      <c r="G258" s="2">
        <v>19</v>
      </c>
      <c r="H258" s="2" t="s">
        <v>18</v>
      </c>
      <c r="I258" s="2">
        <v>4</v>
      </c>
      <c r="J258" s="2">
        <v>500</v>
      </c>
      <c r="K258" s="2">
        <v>2000</v>
      </c>
      <c r="M258" s="2">
        <v>2000</v>
      </c>
      <c r="N258" t="str" cm="1">
        <f t="array" ref="N258">IF(M258=Table5[[#This Row],[Total Amount]],"Correct",Check)</f>
        <v>Correct</v>
      </c>
    </row>
    <row r="259" spans="3:14" x14ac:dyDescent="0.25">
      <c r="C259" s="2">
        <v>258</v>
      </c>
      <c r="D259" s="10">
        <v>45264</v>
      </c>
      <c r="E259" s="2" t="s">
        <v>278</v>
      </c>
      <c r="F259" s="2" t="s">
        <v>20</v>
      </c>
      <c r="G259" s="2">
        <v>37</v>
      </c>
      <c r="H259" s="2" t="s">
        <v>21</v>
      </c>
      <c r="I259" s="2">
        <v>1</v>
      </c>
      <c r="J259" s="2">
        <v>50</v>
      </c>
      <c r="K259" s="2">
        <v>50</v>
      </c>
      <c r="M259" s="2">
        <v>50</v>
      </c>
      <c r="N259" t="str" cm="1">
        <f t="array" ref="N259">IF(M259=Table5[[#This Row],[Total Amount]],"Correct",Check)</f>
        <v>Correct</v>
      </c>
    </row>
    <row r="260" spans="3:14" x14ac:dyDescent="0.25">
      <c r="C260" s="2">
        <v>259</v>
      </c>
      <c r="D260" s="10">
        <v>45147</v>
      </c>
      <c r="E260" s="2" t="s">
        <v>279</v>
      </c>
      <c r="F260" s="2" t="s">
        <v>20</v>
      </c>
      <c r="G260" s="2">
        <v>45</v>
      </c>
      <c r="H260" s="2" t="s">
        <v>21</v>
      </c>
      <c r="I260" s="2">
        <v>4</v>
      </c>
      <c r="J260" s="2">
        <v>50</v>
      </c>
      <c r="K260" s="2">
        <v>200</v>
      </c>
      <c r="M260" s="2">
        <v>200</v>
      </c>
      <c r="N260" t="str" cm="1">
        <f t="array" ref="N260">IF(M260=Table5[[#This Row],[Total Amount]],"Correct",Check)</f>
        <v>Correct</v>
      </c>
    </row>
    <row r="261" spans="3:14" x14ac:dyDescent="0.25">
      <c r="C261" s="2">
        <v>260</v>
      </c>
      <c r="D261" s="10">
        <v>45108</v>
      </c>
      <c r="E261" s="2" t="s">
        <v>280</v>
      </c>
      <c r="F261" s="2" t="s">
        <v>17</v>
      </c>
      <c r="G261" s="2">
        <v>28</v>
      </c>
      <c r="H261" s="2" t="s">
        <v>18</v>
      </c>
      <c r="I261" s="2">
        <v>2</v>
      </c>
      <c r="J261" s="2">
        <v>30</v>
      </c>
      <c r="K261" s="2">
        <v>60</v>
      </c>
      <c r="M261" s="2">
        <v>60</v>
      </c>
      <c r="N261" t="str" cm="1">
        <f t="array" ref="N261">IF(M261=Table5[[#This Row],[Total Amount]],"Correct",Check)</f>
        <v>Correct</v>
      </c>
    </row>
    <row r="262" spans="3:14" x14ac:dyDescent="0.25">
      <c r="C262" s="2">
        <v>261</v>
      </c>
      <c r="D262" s="10">
        <v>45143</v>
      </c>
      <c r="E262" s="2" t="s">
        <v>281</v>
      </c>
      <c r="F262" s="2" t="s">
        <v>17</v>
      </c>
      <c r="G262" s="2">
        <v>21</v>
      </c>
      <c r="H262" s="2" t="s">
        <v>21</v>
      </c>
      <c r="I262" s="2">
        <v>2</v>
      </c>
      <c r="J262" s="2">
        <v>25</v>
      </c>
      <c r="K262" s="2">
        <v>50</v>
      </c>
      <c r="M262" s="2">
        <v>50</v>
      </c>
      <c r="N262" t="str" cm="1">
        <f t="array" ref="N262">IF(M262=Table5[[#This Row],[Total Amount]],"Correct",Check)</f>
        <v>Correct</v>
      </c>
    </row>
    <row r="263" spans="3:14" x14ac:dyDescent="0.25">
      <c r="C263" s="2">
        <v>262</v>
      </c>
      <c r="D263" s="10">
        <v>45137</v>
      </c>
      <c r="E263" s="2" t="s">
        <v>282</v>
      </c>
      <c r="F263" s="2" t="s">
        <v>20</v>
      </c>
      <c r="G263" s="2">
        <v>32</v>
      </c>
      <c r="H263" s="2" t="s">
        <v>18</v>
      </c>
      <c r="I263" s="2">
        <v>4</v>
      </c>
      <c r="J263" s="2">
        <v>30</v>
      </c>
      <c r="K263" s="2">
        <v>120</v>
      </c>
      <c r="M263" s="2">
        <v>120</v>
      </c>
      <c r="N263" t="str" cm="1">
        <f t="array" ref="N263">IF(M263=Table5[[#This Row],[Total Amount]],"Correct",Check)</f>
        <v>Correct</v>
      </c>
    </row>
    <row r="264" spans="3:14" x14ac:dyDescent="0.25">
      <c r="C264" s="2">
        <v>263</v>
      </c>
      <c r="D264" s="10">
        <v>45166</v>
      </c>
      <c r="E264" s="2" t="s">
        <v>283</v>
      </c>
      <c r="F264" s="2" t="s">
        <v>17</v>
      </c>
      <c r="G264" s="2">
        <v>23</v>
      </c>
      <c r="H264" s="2" t="s">
        <v>18</v>
      </c>
      <c r="I264" s="2">
        <v>2</v>
      </c>
      <c r="J264" s="2">
        <v>30</v>
      </c>
      <c r="K264" s="2">
        <v>60</v>
      </c>
      <c r="M264" s="2">
        <v>60</v>
      </c>
      <c r="N264" t="str" cm="1">
        <f t="array" ref="N264">IF(M264=Table5[[#This Row],[Total Amount]],"Correct",Check)</f>
        <v>Correct</v>
      </c>
    </row>
    <row r="265" spans="3:14" x14ac:dyDescent="0.25">
      <c r="C265" s="2">
        <v>264</v>
      </c>
      <c r="D265" s="10">
        <v>44954</v>
      </c>
      <c r="E265" s="2" t="s">
        <v>284</v>
      </c>
      <c r="F265" s="2" t="s">
        <v>17</v>
      </c>
      <c r="G265" s="2">
        <v>47</v>
      </c>
      <c r="H265" s="2" t="s">
        <v>21</v>
      </c>
      <c r="I265" s="2">
        <v>3</v>
      </c>
      <c r="J265" s="2">
        <v>300</v>
      </c>
      <c r="K265" s="2">
        <v>900</v>
      </c>
      <c r="M265" s="2">
        <v>900</v>
      </c>
      <c r="N265" t="str" cm="1">
        <f t="array" ref="N265">IF(M265=Table5[[#This Row],[Total Amount]],"Correct",Check)</f>
        <v>Correct</v>
      </c>
    </row>
    <row r="266" spans="3:14" x14ac:dyDescent="0.25">
      <c r="C266" s="2">
        <v>265</v>
      </c>
      <c r="D266" s="10">
        <v>45271</v>
      </c>
      <c r="E266" s="2" t="s">
        <v>285</v>
      </c>
      <c r="F266" s="2" t="s">
        <v>17</v>
      </c>
      <c r="G266" s="2">
        <v>55</v>
      </c>
      <c r="H266" s="2" t="s">
        <v>21</v>
      </c>
      <c r="I266" s="2">
        <v>3</v>
      </c>
      <c r="J266" s="2">
        <v>300</v>
      </c>
      <c r="K266" s="2">
        <v>900</v>
      </c>
      <c r="M266" s="2">
        <v>900</v>
      </c>
      <c r="N266" t="str" cm="1">
        <f t="array" ref="N266">IF(M266=Table5[[#This Row],[Total Amount]],"Correct",Check)</f>
        <v>Correct</v>
      </c>
    </row>
    <row r="267" spans="3:14" x14ac:dyDescent="0.25">
      <c r="C267" s="2">
        <v>266</v>
      </c>
      <c r="D267" s="10">
        <v>45261</v>
      </c>
      <c r="E267" s="2" t="s">
        <v>286</v>
      </c>
      <c r="F267" s="2" t="s">
        <v>20</v>
      </c>
      <c r="G267" s="2">
        <v>19</v>
      </c>
      <c r="H267" s="2" t="s">
        <v>23</v>
      </c>
      <c r="I267" s="2">
        <v>2</v>
      </c>
      <c r="J267" s="2">
        <v>30</v>
      </c>
      <c r="K267" s="2">
        <v>60</v>
      </c>
      <c r="M267" s="2">
        <v>60</v>
      </c>
      <c r="N267" t="str" cm="1">
        <f t="array" ref="N267">IF(M267=Table5[[#This Row],[Total Amount]],"Correct",Check)</f>
        <v>Correct</v>
      </c>
    </row>
    <row r="268" spans="3:14" x14ac:dyDescent="0.25">
      <c r="C268" s="2">
        <v>267</v>
      </c>
      <c r="D268" s="10">
        <v>45257</v>
      </c>
      <c r="E268" s="2" t="s">
        <v>287</v>
      </c>
      <c r="F268" s="2" t="s">
        <v>20</v>
      </c>
      <c r="G268" s="2">
        <v>32</v>
      </c>
      <c r="H268" s="2" t="s">
        <v>18</v>
      </c>
      <c r="I268" s="2">
        <v>3</v>
      </c>
      <c r="J268" s="2">
        <v>30</v>
      </c>
      <c r="K268" s="2">
        <v>90</v>
      </c>
      <c r="M268" s="2">
        <v>90</v>
      </c>
      <c r="N268" t="str" cm="1">
        <f t="array" ref="N268">IF(M268=Table5[[#This Row],[Total Amount]],"Correct",Check)</f>
        <v>Correct</v>
      </c>
    </row>
    <row r="269" spans="3:14" x14ac:dyDescent="0.25">
      <c r="C269" s="2">
        <v>268</v>
      </c>
      <c r="D269" s="10">
        <v>44977</v>
      </c>
      <c r="E269" s="2" t="s">
        <v>288</v>
      </c>
      <c r="F269" s="2" t="s">
        <v>20</v>
      </c>
      <c r="G269" s="2">
        <v>28</v>
      </c>
      <c r="H269" s="2" t="s">
        <v>23</v>
      </c>
      <c r="I269" s="2">
        <v>1</v>
      </c>
      <c r="J269" s="2">
        <v>30</v>
      </c>
      <c r="K269" s="2">
        <v>30</v>
      </c>
      <c r="M269" s="2">
        <v>30</v>
      </c>
      <c r="N269" t="str" cm="1">
        <f t="array" ref="N269">IF(M269=Table5[[#This Row],[Total Amount]],"Correct",Check)</f>
        <v>Correct</v>
      </c>
    </row>
    <row r="270" spans="3:14" x14ac:dyDescent="0.25">
      <c r="C270" s="2">
        <v>269</v>
      </c>
      <c r="D270" s="10">
        <v>44958</v>
      </c>
      <c r="E270" s="2" t="s">
        <v>289</v>
      </c>
      <c r="F270" s="2" t="s">
        <v>17</v>
      </c>
      <c r="G270" s="2">
        <v>25</v>
      </c>
      <c r="H270" s="2" t="s">
        <v>21</v>
      </c>
      <c r="I270" s="2">
        <v>4</v>
      </c>
      <c r="J270" s="2">
        <v>500</v>
      </c>
      <c r="K270" s="2">
        <v>2000</v>
      </c>
      <c r="M270" s="2">
        <v>2000</v>
      </c>
      <c r="N270" t="str" cm="1">
        <f t="array" ref="N270">IF(M270=Table5[[#This Row],[Total Amount]],"Correct",Check)</f>
        <v>Correct</v>
      </c>
    </row>
    <row r="271" spans="3:14" x14ac:dyDescent="0.25">
      <c r="C271" s="2">
        <v>270</v>
      </c>
      <c r="D271" s="10">
        <v>45133</v>
      </c>
      <c r="E271" s="2" t="s">
        <v>290</v>
      </c>
      <c r="F271" s="2" t="s">
        <v>17</v>
      </c>
      <c r="G271" s="2">
        <v>43</v>
      </c>
      <c r="H271" s="2" t="s">
        <v>23</v>
      </c>
      <c r="I271" s="2">
        <v>1</v>
      </c>
      <c r="J271" s="2">
        <v>300</v>
      </c>
      <c r="K271" s="2">
        <v>300</v>
      </c>
      <c r="M271" s="2">
        <v>300</v>
      </c>
      <c r="N271" t="str" cm="1">
        <f t="array" ref="N271">IF(M271=Table5[[#This Row],[Total Amount]],"Correct",Check)</f>
        <v>Correct</v>
      </c>
    </row>
    <row r="272" spans="3:14" x14ac:dyDescent="0.25">
      <c r="C272" s="2">
        <v>271</v>
      </c>
      <c r="D272" s="10">
        <v>45100</v>
      </c>
      <c r="E272" s="2" t="s">
        <v>291</v>
      </c>
      <c r="F272" s="2" t="s">
        <v>20</v>
      </c>
      <c r="G272" s="2">
        <v>62</v>
      </c>
      <c r="H272" s="2" t="s">
        <v>18</v>
      </c>
      <c r="I272" s="2">
        <v>4</v>
      </c>
      <c r="J272" s="2">
        <v>30</v>
      </c>
      <c r="K272" s="2">
        <v>120</v>
      </c>
      <c r="M272" s="2">
        <v>120</v>
      </c>
      <c r="N272" t="str" cm="1">
        <f t="array" ref="N272">IF(M272=Table5[[#This Row],[Total Amount]],"Correct",Check)</f>
        <v>Correct</v>
      </c>
    </row>
    <row r="273" spans="3:14" x14ac:dyDescent="0.25">
      <c r="C273" s="2">
        <v>272</v>
      </c>
      <c r="D273" s="10">
        <v>44982</v>
      </c>
      <c r="E273" s="2" t="s">
        <v>292</v>
      </c>
      <c r="F273" s="2" t="s">
        <v>20</v>
      </c>
      <c r="G273" s="2">
        <v>61</v>
      </c>
      <c r="H273" s="2" t="s">
        <v>23</v>
      </c>
      <c r="I273" s="2">
        <v>2</v>
      </c>
      <c r="J273" s="2">
        <v>50</v>
      </c>
      <c r="K273" s="2">
        <v>100</v>
      </c>
      <c r="M273" s="2">
        <v>100</v>
      </c>
      <c r="N273" t="str" cm="1">
        <f t="array" ref="N273">IF(M273=Table5[[#This Row],[Total Amount]],"Correct",Check)</f>
        <v>Correct</v>
      </c>
    </row>
    <row r="274" spans="3:14" x14ac:dyDescent="0.25">
      <c r="C274" s="2">
        <v>273</v>
      </c>
      <c r="D274" s="10">
        <v>45054</v>
      </c>
      <c r="E274" s="2" t="s">
        <v>293</v>
      </c>
      <c r="F274" s="2" t="s">
        <v>20</v>
      </c>
      <c r="G274" s="2">
        <v>22</v>
      </c>
      <c r="H274" s="2" t="s">
        <v>18</v>
      </c>
      <c r="I274" s="2">
        <v>1</v>
      </c>
      <c r="J274" s="2">
        <v>50</v>
      </c>
      <c r="K274" s="2">
        <v>50</v>
      </c>
      <c r="M274" s="2">
        <v>50</v>
      </c>
      <c r="N274" t="str" cm="1">
        <f t="array" ref="N274">IF(M274=Table5[[#This Row],[Total Amount]],"Correct",Check)</f>
        <v>Correct</v>
      </c>
    </row>
    <row r="275" spans="3:14" x14ac:dyDescent="0.25">
      <c r="C275" s="2">
        <v>274</v>
      </c>
      <c r="D275" s="10">
        <v>45025</v>
      </c>
      <c r="E275" s="2" t="s">
        <v>294</v>
      </c>
      <c r="F275" s="2" t="s">
        <v>20</v>
      </c>
      <c r="G275" s="2">
        <v>23</v>
      </c>
      <c r="H275" s="2" t="s">
        <v>21</v>
      </c>
      <c r="I275" s="2">
        <v>2</v>
      </c>
      <c r="J275" s="2">
        <v>500</v>
      </c>
      <c r="K275" s="2">
        <v>1000</v>
      </c>
      <c r="M275" s="2">
        <v>1000</v>
      </c>
      <c r="N275" t="str" cm="1">
        <f t="array" ref="N275">IF(M275=Table5[[#This Row],[Total Amount]],"Correct",Check)</f>
        <v>Correct</v>
      </c>
    </row>
    <row r="276" spans="3:14" x14ac:dyDescent="0.25">
      <c r="C276" s="2">
        <v>275</v>
      </c>
      <c r="D276" s="10">
        <v>45024</v>
      </c>
      <c r="E276" s="2" t="s">
        <v>295</v>
      </c>
      <c r="F276" s="2" t="s">
        <v>17</v>
      </c>
      <c r="G276" s="2">
        <v>43</v>
      </c>
      <c r="H276" s="2" t="s">
        <v>21</v>
      </c>
      <c r="I276" s="2">
        <v>2</v>
      </c>
      <c r="J276" s="2">
        <v>500</v>
      </c>
      <c r="K276" s="2">
        <v>1000</v>
      </c>
      <c r="M276" s="2">
        <v>1000</v>
      </c>
      <c r="N276" t="str" cm="1">
        <f t="array" ref="N276">IF(M276=Table5[[#This Row],[Total Amount]],"Correct",Check)</f>
        <v>Correct</v>
      </c>
    </row>
    <row r="277" spans="3:14" x14ac:dyDescent="0.25">
      <c r="C277" s="2">
        <v>276</v>
      </c>
      <c r="D277" s="10">
        <v>45201</v>
      </c>
      <c r="E277" s="2" t="s">
        <v>296</v>
      </c>
      <c r="F277" s="2" t="s">
        <v>20</v>
      </c>
      <c r="G277" s="2">
        <v>21</v>
      </c>
      <c r="H277" s="2" t="s">
        <v>18</v>
      </c>
      <c r="I277" s="2">
        <v>4</v>
      </c>
      <c r="J277" s="2">
        <v>25</v>
      </c>
      <c r="K277" s="2">
        <v>100</v>
      </c>
      <c r="M277" s="2">
        <v>100</v>
      </c>
      <c r="N277" t="str" cm="1">
        <f t="array" ref="N277">IF(M277=Table5[[#This Row],[Total Amount]],"Correct",Check)</f>
        <v>Correct</v>
      </c>
    </row>
    <row r="278" spans="3:14" x14ac:dyDescent="0.25">
      <c r="C278" s="2">
        <v>277</v>
      </c>
      <c r="D278" s="10">
        <v>45156</v>
      </c>
      <c r="E278" s="2" t="s">
        <v>297</v>
      </c>
      <c r="F278" s="2" t="s">
        <v>17</v>
      </c>
      <c r="G278" s="2">
        <v>36</v>
      </c>
      <c r="H278" s="2" t="s">
        <v>21</v>
      </c>
      <c r="I278" s="2">
        <v>4</v>
      </c>
      <c r="J278" s="2">
        <v>25</v>
      </c>
      <c r="K278" s="2">
        <v>100</v>
      </c>
      <c r="M278" s="2">
        <v>100</v>
      </c>
      <c r="N278" t="str" cm="1">
        <f t="array" ref="N278">IF(M278=Table5[[#This Row],[Total Amount]],"Correct",Check)</f>
        <v>Correct</v>
      </c>
    </row>
    <row r="279" spans="3:14" x14ac:dyDescent="0.25">
      <c r="C279" s="2">
        <v>278</v>
      </c>
      <c r="D279" s="10">
        <v>44998</v>
      </c>
      <c r="E279" s="2" t="s">
        <v>298</v>
      </c>
      <c r="F279" s="2" t="s">
        <v>20</v>
      </c>
      <c r="G279" s="2">
        <v>37</v>
      </c>
      <c r="H279" s="2" t="s">
        <v>21</v>
      </c>
      <c r="I279" s="2">
        <v>4</v>
      </c>
      <c r="J279" s="2">
        <v>25</v>
      </c>
      <c r="K279" s="2">
        <v>100</v>
      </c>
      <c r="M279" s="2">
        <v>100</v>
      </c>
      <c r="N279" t="str" cm="1">
        <f t="array" ref="N279">IF(M279=Table5[[#This Row],[Total Amount]],"Correct",Check)</f>
        <v>Correct</v>
      </c>
    </row>
    <row r="280" spans="3:14" x14ac:dyDescent="0.25">
      <c r="C280" s="2">
        <v>279</v>
      </c>
      <c r="D280" s="10">
        <v>45143</v>
      </c>
      <c r="E280" s="2" t="s">
        <v>299</v>
      </c>
      <c r="F280" s="2" t="s">
        <v>17</v>
      </c>
      <c r="G280" s="2">
        <v>50</v>
      </c>
      <c r="H280" s="2" t="s">
        <v>21</v>
      </c>
      <c r="I280" s="2">
        <v>1</v>
      </c>
      <c r="J280" s="2">
        <v>500</v>
      </c>
      <c r="K280" s="2">
        <v>500</v>
      </c>
      <c r="M280" s="2">
        <v>500</v>
      </c>
      <c r="N280" t="str" cm="1">
        <f t="array" ref="N280">IF(M280=Table5[[#This Row],[Total Amount]],"Correct",Check)</f>
        <v>Correct</v>
      </c>
    </row>
    <row r="281" spans="3:14" x14ac:dyDescent="0.25">
      <c r="C281" s="2">
        <v>280</v>
      </c>
      <c r="D281" s="10">
        <v>45020</v>
      </c>
      <c r="E281" s="2" t="s">
        <v>300</v>
      </c>
      <c r="F281" s="2" t="s">
        <v>20</v>
      </c>
      <c r="G281" s="2">
        <v>37</v>
      </c>
      <c r="H281" s="2" t="s">
        <v>21</v>
      </c>
      <c r="I281" s="2">
        <v>3</v>
      </c>
      <c r="J281" s="2">
        <v>500</v>
      </c>
      <c r="K281" s="2">
        <v>1500</v>
      </c>
      <c r="M281" s="2">
        <v>1500</v>
      </c>
      <c r="N281" t="str" cm="1">
        <f t="array" ref="N281">IF(M281=Table5[[#This Row],[Total Amount]],"Correct",Check)</f>
        <v>Correct</v>
      </c>
    </row>
    <row r="282" spans="3:14" x14ac:dyDescent="0.25">
      <c r="C282" s="2">
        <v>281</v>
      </c>
      <c r="D282" s="10">
        <v>45069</v>
      </c>
      <c r="E282" s="2" t="s">
        <v>301</v>
      </c>
      <c r="F282" s="2" t="s">
        <v>20</v>
      </c>
      <c r="G282" s="2">
        <v>29</v>
      </c>
      <c r="H282" s="2" t="s">
        <v>18</v>
      </c>
      <c r="I282" s="2">
        <v>4</v>
      </c>
      <c r="J282" s="2">
        <v>500</v>
      </c>
      <c r="K282" s="2">
        <v>2000</v>
      </c>
      <c r="M282" s="2">
        <v>2000</v>
      </c>
      <c r="N282" t="str" cm="1">
        <f t="array" ref="N282">IF(M282=Table5[[#This Row],[Total Amount]],"Correct",Check)</f>
        <v>Correct</v>
      </c>
    </row>
    <row r="283" spans="3:14" x14ac:dyDescent="0.25">
      <c r="C283" s="2">
        <v>282</v>
      </c>
      <c r="D283" s="10">
        <v>45163</v>
      </c>
      <c r="E283" s="2" t="s">
        <v>302</v>
      </c>
      <c r="F283" s="2" t="s">
        <v>20</v>
      </c>
      <c r="G283" s="2">
        <v>64</v>
      </c>
      <c r="H283" s="2" t="s">
        <v>23</v>
      </c>
      <c r="I283" s="2">
        <v>4</v>
      </c>
      <c r="J283" s="2">
        <v>50</v>
      </c>
      <c r="K283" s="2">
        <v>200</v>
      </c>
      <c r="M283" s="2">
        <v>200</v>
      </c>
      <c r="N283" t="str" cm="1">
        <f t="array" ref="N283">IF(M283=Table5[[#This Row],[Total Amount]],"Correct",Check)</f>
        <v>Correct</v>
      </c>
    </row>
    <row r="284" spans="3:14" x14ac:dyDescent="0.25">
      <c r="C284" s="2">
        <v>283</v>
      </c>
      <c r="D284" s="10">
        <v>45054</v>
      </c>
      <c r="E284" s="2" t="s">
        <v>303</v>
      </c>
      <c r="F284" s="2" t="s">
        <v>20</v>
      </c>
      <c r="G284" s="2">
        <v>18</v>
      </c>
      <c r="H284" s="2" t="s">
        <v>23</v>
      </c>
      <c r="I284" s="2">
        <v>1</v>
      </c>
      <c r="J284" s="2">
        <v>500</v>
      </c>
      <c r="K284" s="2">
        <v>500</v>
      </c>
      <c r="M284" s="2">
        <v>500</v>
      </c>
      <c r="N284" t="str" cm="1">
        <f t="array" ref="N284">IF(M284=Table5[[#This Row],[Total Amount]],"Correct",Check)</f>
        <v>Correct</v>
      </c>
    </row>
    <row r="285" spans="3:14" x14ac:dyDescent="0.25">
      <c r="C285" s="2">
        <v>284</v>
      </c>
      <c r="D285" s="10">
        <v>44965</v>
      </c>
      <c r="E285" s="2" t="s">
        <v>304</v>
      </c>
      <c r="F285" s="2" t="s">
        <v>17</v>
      </c>
      <c r="G285" s="2">
        <v>43</v>
      </c>
      <c r="H285" s="2" t="s">
        <v>21</v>
      </c>
      <c r="I285" s="2">
        <v>4</v>
      </c>
      <c r="J285" s="2">
        <v>50</v>
      </c>
      <c r="K285" s="2">
        <v>200</v>
      </c>
      <c r="M285" s="2">
        <v>200</v>
      </c>
      <c r="N285" t="str" cm="1">
        <f t="array" ref="N285">IF(M285=Table5[[#This Row],[Total Amount]],"Correct",Check)</f>
        <v>Correct</v>
      </c>
    </row>
    <row r="286" spans="3:14" x14ac:dyDescent="0.25">
      <c r="C286" s="2">
        <v>285</v>
      </c>
      <c r="D286" s="10">
        <v>45153</v>
      </c>
      <c r="E286" s="2" t="s">
        <v>305</v>
      </c>
      <c r="F286" s="2" t="s">
        <v>20</v>
      </c>
      <c r="G286" s="2">
        <v>31</v>
      </c>
      <c r="H286" s="2" t="s">
        <v>23</v>
      </c>
      <c r="I286" s="2">
        <v>1</v>
      </c>
      <c r="J286" s="2">
        <v>25</v>
      </c>
      <c r="K286" s="2">
        <v>25</v>
      </c>
      <c r="M286" s="2">
        <v>25</v>
      </c>
      <c r="N286" t="str" cm="1">
        <f t="array" ref="N286">IF(M286=Table5[[#This Row],[Total Amount]],"Correct",Check)</f>
        <v>Correct</v>
      </c>
    </row>
    <row r="287" spans="3:14" x14ac:dyDescent="0.25">
      <c r="C287" s="2">
        <v>286</v>
      </c>
      <c r="D287" s="10">
        <v>45208</v>
      </c>
      <c r="E287" s="2" t="s">
        <v>306</v>
      </c>
      <c r="F287" s="2" t="s">
        <v>17</v>
      </c>
      <c r="G287" s="2">
        <v>55</v>
      </c>
      <c r="H287" s="2" t="s">
        <v>23</v>
      </c>
      <c r="I287" s="2">
        <v>2</v>
      </c>
      <c r="J287" s="2">
        <v>25</v>
      </c>
      <c r="K287" s="2">
        <v>50</v>
      </c>
      <c r="M287" s="2">
        <v>50</v>
      </c>
      <c r="N287" t="str" cm="1">
        <f t="array" ref="N287">IF(M287=Table5[[#This Row],[Total Amount]],"Correct",Check)</f>
        <v>Correct</v>
      </c>
    </row>
    <row r="288" spans="3:14" x14ac:dyDescent="0.25">
      <c r="C288" s="2">
        <v>287</v>
      </c>
      <c r="D288" s="10">
        <v>44977</v>
      </c>
      <c r="E288" s="2" t="s">
        <v>307</v>
      </c>
      <c r="F288" s="2" t="s">
        <v>17</v>
      </c>
      <c r="G288" s="2">
        <v>54</v>
      </c>
      <c r="H288" s="2" t="s">
        <v>21</v>
      </c>
      <c r="I288" s="2">
        <v>4</v>
      </c>
      <c r="J288" s="2">
        <v>25</v>
      </c>
      <c r="K288" s="2">
        <v>100</v>
      </c>
      <c r="M288" s="2">
        <v>100</v>
      </c>
      <c r="N288" t="str" cm="1">
        <f t="array" ref="N288">IF(M288=Table5[[#This Row],[Total Amount]],"Correct",Check)</f>
        <v>Correct</v>
      </c>
    </row>
    <row r="289" spans="3:14" x14ac:dyDescent="0.25">
      <c r="C289" s="2">
        <v>288</v>
      </c>
      <c r="D289" s="10">
        <v>44952</v>
      </c>
      <c r="E289" s="2" t="s">
        <v>308</v>
      </c>
      <c r="F289" s="2" t="s">
        <v>17</v>
      </c>
      <c r="G289" s="2">
        <v>28</v>
      </c>
      <c r="H289" s="2" t="s">
        <v>21</v>
      </c>
      <c r="I289" s="2">
        <v>4</v>
      </c>
      <c r="J289" s="2">
        <v>30</v>
      </c>
      <c r="K289" s="2">
        <v>120</v>
      </c>
      <c r="M289" s="2">
        <v>120</v>
      </c>
      <c r="N289" t="str" cm="1">
        <f t="array" ref="N289">IF(M289=Table5[[#This Row],[Total Amount]],"Correct",Check)</f>
        <v>Correct</v>
      </c>
    </row>
    <row r="290" spans="3:14" x14ac:dyDescent="0.25">
      <c r="C290" s="2">
        <v>289</v>
      </c>
      <c r="D290" s="10">
        <v>45260</v>
      </c>
      <c r="E290" s="2" t="s">
        <v>309</v>
      </c>
      <c r="F290" s="2" t="s">
        <v>17</v>
      </c>
      <c r="G290" s="2">
        <v>53</v>
      </c>
      <c r="H290" s="2" t="s">
        <v>23</v>
      </c>
      <c r="I290" s="2">
        <v>2</v>
      </c>
      <c r="J290" s="2">
        <v>30</v>
      </c>
      <c r="K290" s="2">
        <v>60</v>
      </c>
      <c r="M290" s="2">
        <v>60</v>
      </c>
      <c r="N290" t="str" cm="1">
        <f t="array" ref="N290">IF(M290=Table5[[#This Row],[Total Amount]],"Correct",Check)</f>
        <v>Correct</v>
      </c>
    </row>
    <row r="291" spans="3:14" x14ac:dyDescent="0.25">
      <c r="C291" s="2">
        <v>290</v>
      </c>
      <c r="D291" s="10">
        <v>45203</v>
      </c>
      <c r="E291" s="2" t="s">
        <v>310</v>
      </c>
      <c r="F291" s="2" t="s">
        <v>20</v>
      </c>
      <c r="G291" s="2">
        <v>30</v>
      </c>
      <c r="H291" s="2" t="s">
        <v>18</v>
      </c>
      <c r="I291" s="2">
        <v>2</v>
      </c>
      <c r="J291" s="2">
        <v>300</v>
      </c>
      <c r="K291" s="2">
        <v>600</v>
      </c>
      <c r="M291" s="2">
        <v>600</v>
      </c>
      <c r="N291" t="str" cm="1">
        <f t="array" ref="N291">IF(M291=Table5[[#This Row],[Total Amount]],"Correct",Check)</f>
        <v>Correct</v>
      </c>
    </row>
    <row r="292" spans="3:14" x14ac:dyDescent="0.25">
      <c r="C292" s="2">
        <v>291</v>
      </c>
      <c r="D292" s="10">
        <v>44934</v>
      </c>
      <c r="E292" s="2" t="s">
        <v>311</v>
      </c>
      <c r="F292" s="2" t="s">
        <v>17</v>
      </c>
      <c r="G292" s="2">
        <v>60</v>
      </c>
      <c r="H292" s="2" t="s">
        <v>21</v>
      </c>
      <c r="I292" s="2">
        <v>2</v>
      </c>
      <c r="J292" s="2">
        <v>300</v>
      </c>
      <c r="K292" s="2">
        <v>600</v>
      </c>
      <c r="M292" s="2">
        <v>600</v>
      </c>
      <c r="N292" t="str" cm="1">
        <f t="array" ref="N292">IF(M292=Table5[[#This Row],[Total Amount]],"Correct",Check)</f>
        <v>Correct</v>
      </c>
    </row>
    <row r="293" spans="3:14" x14ac:dyDescent="0.25">
      <c r="C293" s="2">
        <v>292</v>
      </c>
      <c r="D293" s="10">
        <v>44974</v>
      </c>
      <c r="E293" s="2" t="s">
        <v>312</v>
      </c>
      <c r="F293" s="2" t="s">
        <v>17</v>
      </c>
      <c r="G293" s="2">
        <v>20</v>
      </c>
      <c r="H293" s="2" t="s">
        <v>18</v>
      </c>
      <c r="I293" s="2">
        <v>4</v>
      </c>
      <c r="J293" s="2">
        <v>300</v>
      </c>
      <c r="K293" s="2">
        <v>1200</v>
      </c>
      <c r="M293" s="2">
        <v>1200</v>
      </c>
      <c r="N293" t="str" cm="1">
        <f t="array" ref="N293">IF(M293=Table5[[#This Row],[Total Amount]],"Correct",Check)</f>
        <v>Correct</v>
      </c>
    </row>
    <row r="294" spans="3:14" x14ac:dyDescent="0.25">
      <c r="C294" s="2">
        <v>293</v>
      </c>
      <c r="D294" s="10">
        <v>45048</v>
      </c>
      <c r="E294" s="2" t="s">
        <v>313</v>
      </c>
      <c r="F294" s="2" t="s">
        <v>17</v>
      </c>
      <c r="G294" s="2">
        <v>50</v>
      </c>
      <c r="H294" s="2" t="s">
        <v>23</v>
      </c>
      <c r="I294" s="2">
        <v>3</v>
      </c>
      <c r="J294" s="2">
        <v>30</v>
      </c>
      <c r="K294" s="2">
        <v>90</v>
      </c>
      <c r="M294" s="2">
        <v>90</v>
      </c>
      <c r="N294" t="str" cm="1">
        <f t="array" ref="N294">IF(M294=Table5[[#This Row],[Total Amount]],"Correct",Check)</f>
        <v>Correct</v>
      </c>
    </row>
    <row r="295" spans="3:14" x14ac:dyDescent="0.25">
      <c r="C295" s="2">
        <v>294</v>
      </c>
      <c r="D295" s="10">
        <v>45012</v>
      </c>
      <c r="E295" s="2" t="s">
        <v>314</v>
      </c>
      <c r="F295" s="2" t="s">
        <v>20</v>
      </c>
      <c r="G295" s="2">
        <v>23</v>
      </c>
      <c r="H295" s="2" t="s">
        <v>21</v>
      </c>
      <c r="I295" s="2">
        <v>3</v>
      </c>
      <c r="J295" s="2">
        <v>30</v>
      </c>
      <c r="K295" s="2">
        <v>90</v>
      </c>
      <c r="M295" s="2">
        <v>90</v>
      </c>
      <c r="N295" t="str" cm="1">
        <f t="array" ref="N295">IF(M295=Table5[[#This Row],[Total Amount]],"Correct",Check)</f>
        <v>Correct</v>
      </c>
    </row>
    <row r="296" spans="3:14" x14ac:dyDescent="0.25">
      <c r="C296" s="2">
        <v>295</v>
      </c>
      <c r="D296" s="10">
        <v>45135</v>
      </c>
      <c r="E296" s="2" t="s">
        <v>315</v>
      </c>
      <c r="F296" s="2" t="s">
        <v>20</v>
      </c>
      <c r="G296" s="2">
        <v>27</v>
      </c>
      <c r="H296" s="2" t="s">
        <v>18</v>
      </c>
      <c r="I296" s="2">
        <v>3</v>
      </c>
      <c r="J296" s="2">
        <v>300</v>
      </c>
      <c r="K296" s="2">
        <v>900</v>
      </c>
      <c r="M296" s="2">
        <v>900</v>
      </c>
      <c r="N296" t="str" cm="1">
        <f t="array" ref="N296">IF(M296=Table5[[#This Row],[Total Amount]],"Correct",Check)</f>
        <v>Correct</v>
      </c>
    </row>
    <row r="297" spans="3:14" x14ac:dyDescent="0.25">
      <c r="C297" s="2">
        <v>296</v>
      </c>
      <c r="D297" s="10">
        <v>45175</v>
      </c>
      <c r="E297" s="2" t="s">
        <v>316</v>
      </c>
      <c r="F297" s="2" t="s">
        <v>20</v>
      </c>
      <c r="G297" s="2">
        <v>22</v>
      </c>
      <c r="H297" s="2" t="s">
        <v>21</v>
      </c>
      <c r="I297" s="2">
        <v>4</v>
      </c>
      <c r="J297" s="2">
        <v>300</v>
      </c>
      <c r="K297" s="2">
        <v>1200</v>
      </c>
      <c r="M297" s="2">
        <v>1200</v>
      </c>
      <c r="N297" t="str" cm="1">
        <f t="array" ref="N297">IF(M297=Table5[[#This Row],[Total Amount]],"Correct",Check)</f>
        <v>Correct</v>
      </c>
    </row>
    <row r="298" spans="3:14" x14ac:dyDescent="0.25">
      <c r="C298" s="2">
        <v>297</v>
      </c>
      <c r="D298" s="10">
        <v>45173</v>
      </c>
      <c r="E298" s="2" t="s">
        <v>317</v>
      </c>
      <c r="F298" s="2" t="s">
        <v>20</v>
      </c>
      <c r="G298" s="2">
        <v>40</v>
      </c>
      <c r="H298" s="2" t="s">
        <v>23</v>
      </c>
      <c r="I298" s="2">
        <v>2</v>
      </c>
      <c r="J298" s="2">
        <v>500</v>
      </c>
      <c r="K298" s="2">
        <v>1000</v>
      </c>
      <c r="M298" s="2">
        <v>1000</v>
      </c>
      <c r="N298" t="str" cm="1">
        <f t="array" ref="N298">IF(M298=Table5[[#This Row],[Total Amount]],"Correct",Check)</f>
        <v>Correct</v>
      </c>
    </row>
    <row r="299" spans="3:14" x14ac:dyDescent="0.25">
      <c r="C299" s="2">
        <v>298</v>
      </c>
      <c r="D299" s="10">
        <v>45036</v>
      </c>
      <c r="E299" s="2" t="s">
        <v>318</v>
      </c>
      <c r="F299" s="2" t="s">
        <v>17</v>
      </c>
      <c r="G299" s="2">
        <v>27</v>
      </c>
      <c r="H299" s="2" t="s">
        <v>18</v>
      </c>
      <c r="I299" s="2">
        <v>4</v>
      </c>
      <c r="J299" s="2">
        <v>300</v>
      </c>
      <c r="K299" s="2">
        <v>1200</v>
      </c>
      <c r="M299" s="2">
        <v>1200</v>
      </c>
      <c r="N299" t="str" cm="1">
        <f t="array" ref="N299">IF(M299=Table5[[#This Row],[Total Amount]],"Correct",Check)</f>
        <v>Correct</v>
      </c>
    </row>
    <row r="300" spans="3:14" x14ac:dyDescent="0.25">
      <c r="C300" s="2">
        <v>299</v>
      </c>
      <c r="D300" s="10">
        <v>45132</v>
      </c>
      <c r="E300" s="2" t="s">
        <v>319</v>
      </c>
      <c r="F300" s="2" t="s">
        <v>17</v>
      </c>
      <c r="G300" s="2">
        <v>61</v>
      </c>
      <c r="H300" s="2" t="s">
        <v>23</v>
      </c>
      <c r="I300" s="2">
        <v>2</v>
      </c>
      <c r="J300" s="2">
        <v>500</v>
      </c>
      <c r="K300" s="2">
        <v>1000</v>
      </c>
      <c r="M300" s="2">
        <v>1000</v>
      </c>
      <c r="N300" t="str" cm="1">
        <f t="array" ref="N300">IF(M300=Table5[[#This Row],[Total Amount]],"Correct",Check)</f>
        <v>Correct</v>
      </c>
    </row>
    <row r="301" spans="3:14" x14ac:dyDescent="0.25">
      <c r="C301" s="2">
        <v>300</v>
      </c>
      <c r="D301" s="10">
        <v>44957</v>
      </c>
      <c r="E301" s="2" t="s">
        <v>320</v>
      </c>
      <c r="F301" s="2" t="s">
        <v>20</v>
      </c>
      <c r="G301" s="2">
        <v>19</v>
      </c>
      <c r="H301" s="2" t="s">
        <v>23</v>
      </c>
      <c r="I301" s="2">
        <v>4</v>
      </c>
      <c r="J301" s="2">
        <v>50</v>
      </c>
      <c r="K301" s="2">
        <v>200</v>
      </c>
      <c r="M301" s="2">
        <v>200</v>
      </c>
      <c r="N301" t="str" cm="1">
        <f t="array" ref="N301">IF(M301=Table5[[#This Row],[Total Amount]],"Correct",Check)</f>
        <v>Correct</v>
      </c>
    </row>
    <row r="302" spans="3:14" x14ac:dyDescent="0.25">
      <c r="C302" s="2">
        <v>301</v>
      </c>
      <c r="D302" s="10">
        <v>45011</v>
      </c>
      <c r="E302" s="2" t="s">
        <v>321</v>
      </c>
      <c r="F302" s="2" t="s">
        <v>17</v>
      </c>
      <c r="G302" s="2">
        <v>30</v>
      </c>
      <c r="H302" s="2" t="s">
        <v>21</v>
      </c>
      <c r="I302" s="2">
        <v>4</v>
      </c>
      <c r="J302" s="2">
        <v>30</v>
      </c>
      <c r="K302" s="2">
        <v>120</v>
      </c>
      <c r="M302" s="2">
        <v>120</v>
      </c>
      <c r="N302" t="str" cm="1">
        <f t="array" ref="N302">IF(M302=Table5[[#This Row],[Total Amount]],"Correct",Check)</f>
        <v>Correct</v>
      </c>
    </row>
    <row r="303" spans="3:14" x14ac:dyDescent="0.25">
      <c r="C303" s="2">
        <v>302</v>
      </c>
      <c r="D303" s="10">
        <v>45121</v>
      </c>
      <c r="E303" s="2" t="s">
        <v>322</v>
      </c>
      <c r="F303" s="2" t="s">
        <v>17</v>
      </c>
      <c r="G303" s="2">
        <v>57</v>
      </c>
      <c r="H303" s="2" t="s">
        <v>18</v>
      </c>
      <c r="I303" s="2">
        <v>2</v>
      </c>
      <c r="J303" s="2">
        <v>300</v>
      </c>
      <c r="K303" s="2">
        <v>600</v>
      </c>
      <c r="M303" s="2">
        <v>600</v>
      </c>
      <c r="N303" t="str" cm="1">
        <f t="array" ref="N303">IF(M303=Table5[[#This Row],[Total Amount]],"Correct",Check)</f>
        <v>Correct</v>
      </c>
    </row>
    <row r="304" spans="3:14" x14ac:dyDescent="0.25">
      <c r="C304" s="2">
        <v>303</v>
      </c>
      <c r="D304" s="10">
        <v>44928</v>
      </c>
      <c r="E304" s="2" t="s">
        <v>323</v>
      </c>
      <c r="F304" s="2" t="s">
        <v>17</v>
      </c>
      <c r="G304" s="2">
        <v>19</v>
      </c>
      <c r="H304" s="2" t="s">
        <v>23</v>
      </c>
      <c r="I304" s="2">
        <v>3</v>
      </c>
      <c r="J304" s="2">
        <v>30</v>
      </c>
      <c r="K304" s="2">
        <v>90</v>
      </c>
      <c r="M304" s="2">
        <v>90</v>
      </c>
      <c r="N304" t="str" cm="1">
        <f t="array" ref="N304">IF(M304=Table5[[#This Row],[Total Amount]],"Correct",Check)</f>
        <v>Correct</v>
      </c>
    </row>
    <row r="305" spans="3:14" x14ac:dyDescent="0.25">
      <c r="C305" s="2">
        <v>304</v>
      </c>
      <c r="D305" s="10">
        <v>45126</v>
      </c>
      <c r="E305" s="2" t="s">
        <v>324</v>
      </c>
      <c r="F305" s="2" t="s">
        <v>20</v>
      </c>
      <c r="G305" s="2">
        <v>37</v>
      </c>
      <c r="H305" s="2" t="s">
        <v>23</v>
      </c>
      <c r="I305" s="2">
        <v>2</v>
      </c>
      <c r="J305" s="2">
        <v>30</v>
      </c>
      <c r="K305" s="2">
        <v>60</v>
      </c>
      <c r="M305" s="2">
        <v>60</v>
      </c>
      <c r="N305" t="str" cm="1">
        <f t="array" ref="N305">IF(M305=Table5[[#This Row],[Total Amount]],"Correct",Check)</f>
        <v>Correct</v>
      </c>
    </row>
    <row r="306" spans="3:14" x14ac:dyDescent="0.25">
      <c r="C306" s="2">
        <v>305</v>
      </c>
      <c r="D306" s="10">
        <v>45062</v>
      </c>
      <c r="E306" s="2" t="s">
        <v>325</v>
      </c>
      <c r="F306" s="2" t="s">
        <v>20</v>
      </c>
      <c r="G306" s="2">
        <v>18</v>
      </c>
      <c r="H306" s="2" t="s">
        <v>18</v>
      </c>
      <c r="I306" s="2">
        <v>1</v>
      </c>
      <c r="J306" s="2">
        <v>30</v>
      </c>
      <c r="K306" s="2">
        <v>30</v>
      </c>
      <c r="M306" s="2">
        <v>30</v>
      </c>
      <c r="N306" t="str" cm="1">
        <f t="array" ref="N306">IF(M306=Table5[[#This Row],[Total Amount]],"Correct",Check)</f>
        <v>Correct</v>
      </c>
    </row>
    <row r="307" spans="3:14" x14ac:dyDescent="0.25">
      <c r="C307" s="2">
        <v>306</v>
      </c>
      <c r="D307" s="10">
        <v>45159</v>
      </c>
      <c r="E307" s="2" t="s">
        <v>326</v>
      </c>
      <c r="F307" s="2" t="s">
        <v>17</v>
      </c>
      <c r="G307" s="2">
        <v>54</v>
      </c>
      <c r="H307" s="2" t="s">
        <v>23</v>
      </c>
      <c r="I307" s="2">
        <v>1</v>
      </c>
      <c r="J307" s="2">
        <v>50</v>
      </c>
      <c r="K307" s="2">
        <v>50</v>
      </c>
      <c r="M307" s="2">
        <v>50</v>
      </c>
      <c r="N307" t="str" cm="1">
        <f t="array" ref="N307">IF(M307=Table5[[#This Row],[Total Amount]],"Correct",Check)</f>
        <v>Correct</v>
      </c>
    </row>
    <row r="308" spans="3:14" x14ac:dyDescent="0.25">
      <c r="C308" s="2">
        <v>307</v>
      </c>
      <c r="D308" s="10">
        <v>45073</v>
      </c>
      <c r="E308" s="2" t="s">
        <v>327</v>
      </c>
      <c r="F308" s="2" t="s">
        <v>20</v>
      </c>
      <c r="G308" s="2">
        <v>26</v>
      </c>
      <c r="H308" s="2" t="s">
        <v>23</v>
      </c>
      <c r="I308" s="2">
        <v>2</v>
      </c>
      <c r="J308" s="2">
        <v>25</v>
      </c>
      <c r="K308" s="2">
        <v>50</v>
      </c>
      <c r="M308" s="2">
        <v>50</v>
      </c>
      <c r="N308" t="str" cm="1">
        <f t="array" ref="N308">IF(M308=Table5[[#This Row],[Total Amount]],"Correct",Check)</f>
        <v>Correct</v>
      </c>
    </row>
    <row r="309" spans="3:14" x14ac:dyDescent="0.25">
      <c r="C309" s="2">
        <v>308</v>
      </c>
      <c r="D309" s="10">
        <v>45143</v>
      </c>
      <c r="E309" s="2" t="s">
        <v>328</v>
      </c>
      <c r="F309" s="2" t="s">
        <v>20</v>
      </c>
      <c r="G309" s="2">
        <v>34</v>
      </c>
      <c r="H309" s="2" t="s">
        <v>18</v>
      </c>
      <c r="I309" s="2">
        <v>4</v>
      </c>
      <c r="J309" s="2">
        <v>300</v>
      </c>
      <c r="K309" s="2">
        <v>1200</v>
      </c>
      <c r="M309" s="2">
        <v>1200</v>
      </c>
      <c r="N309" t="str" cm="1">
        <f t="array" ref="N309">IF(M309=Table5[[#This Row],[Total Amount]],"Correct",Check)</f>
        <v>Correct</v>
      </c>
    </row>
    <row r="310" spans="3:14" x14ac:dyDescent="0.25">
      <c r="C310" s="2">
        <v>309</v>
      </c>
      <c r="D310" s="10">
        <v>45283</v>
      </c>
      <c r="E310" s="2" t="s">
        <v>329</v>
      </c>
      <c r="F310" s="2" t="s">
        <v>20</v>
      </c>
      <c r="G310" s="2">
        <v>26</v>
      </c>
      <c r="H310" s="2" t="s">
        <v>18</v>
      </c>
      <c r="I310" s="2">
        <v>1</v>
      </c>
      <c r="J310" s="2">
        <v>25</v>
      </c>
      <c r="K310" s="2">
        <v>25</v>
      </c>
      <c r="M310" s="2">
        <v>25</v>
      </c>
      <c r="N310" t="str" cm="1">
        <f t="array" ref="N310">IF(M310=Table5[[#This Row],[Total Amount]],"Correct",Check)</f>
        <v>Correct</v>
      </c>
    </row>
    <row r="311" spans="3:14" x14ac:dyDescent="0.25">
      <c r="C311" s="2">
        <v>310</v>
      </c>
      <c r="D311" s="10">
        <v>45211</v>
      </c>
      <c r="E311" s="2" t="s">
        <v>330</v>
      </c>
      <c r="F311" s="2" t="s">
        <v>20</v>
      </c>
      <c r="G311" s="2">
        <v>28</v>
      </c>
      <c r="H311" s="2" t="s">
        <v>18</v>
      </c>
      <c r="I311" s="2">
        <v>1</v>
      </c>
      <c r="J311" s="2">
        <v>25</v>
      </c>
      <c r="K311" s="2">
        <v>25</v>
      </c>
      <c r="M311" s="2">
        <v>25</v>
      </c>
      <c r="N311" t="str" cm="1">
        <f t="array" ref="N311">IF(M311=Table5[[#This Row],[Total Amount]],"Correct",Check)</f>
        <v>Correct</v>
      </c>
    </row>
    <row r="312" spans="3:14" x14ac:dyDescent="0.25">
      <c r="C312" s="2">
        <v>311</v>
      </c>
      <c r="D312" s="10">
        <v>45265</v>
      </c>
      <c r="E312" s="2" t="s">
        <v>331</v>
      </c>
      <c r="F312" s="2" t="s">
        <v>20</v>
      </c>
      <c r="G312" s="2">
        <v>32</v>
      </c>
      <c r="H312" s="2" t="s">
        <v>18</v>
      </c>
      <c r="I312" s="2">
        <v>4</v>
      </c>
      <c r="J312" s="2">
        <v>25</v>
      </c>
      <c r="K312" s="2">
        <v>100</v>
      </c>
      <c r="M312" s="2">
        <v>100</v>
      </c>
      <c r="N312" t="str" cm="1">
        <f t="array" ref="N312">IF(M312=Table5[[#This Row],[Total Amount]],"Correct",Check)</f>
        <v>Correct</v>
      </c>
    </row>
    <row r="313" spans="3:14" x14ac:dyDescent="0.25">
      <c r="C313" s="2">
        <v>312</v>
      </c>
      <c r="D313" s="10">
        <v>45176</v>
      </c>
      <c r="E313" s="2" t="s">
        <v>332</v>
      </c>
      <c r="F313" s="2" t="s">
        <v>17</v>
      </c>
      <c r="G313" s="2">
        <v>41</v>
      </c>
      <c r="H313" s="2" t="s">
        <v>21</v>
      </c>
      <c r="I313" s="2">
        <v>4</v>
      </c>
      <c r="J313" s="2">
        <v>30</v>
      </c>
      <c r="K313" s="2">
        <v>120</v>
      </c>
      <c r="M313" s="2">
        <v>120</v>
      </c>
      <c r="N313" t="str" cm="1">
        <f t="array" ref="N313">IF(M313=Table5[[#This Row],[Total Amount]],"Correct",Check)</f>
        <v>Correct</v>
      </c>
    </row>
    <row r="314" spans="3:14" x14ac:dyDescent="0.25">
      <c r="C314" s="2">
        <v>313</v>
      </c>
      <c r="D314" s="10">
        <v>45006</v>
      </c>
      <c r="E314" s="2" t="s">
        <v>333</v>
      </c>
      <c r="F314" s="2" t="s">
        <v>20</v>
      </c>
      <c r="G314" s="2">
        <v>55</v>
      </c>
      <c r="H314" s="2" t="s">
        <v>18</v>
      </c>
      <c r="I314" s="2">
        <v>3</v>
      </c>
      <c r="J314" s="2">
        <v>500</v>
      </c>
      <c r="K314" s="2">
        <v>1500</v>
      </c>
      <c r="M314" s="2">
        <v>1500</v>
      </c>
      <c r="N314" t="str" cm="1">
        <f t="array" ref="N314">IF(M314=Table5[[#This Row],[Total Amount]],"Correct",Check)</f>
        <v>Correct</v>
      </c>
    </row>
    <row r="315" spans="3:14" x14ac:dyDescent="0.25">
      <c r="C315" s="2">
        <v>314</v>
      </c>
      <c r="D315" s="10">
        <v>45024</v>
      </c>
      <c r="E315" s="2" t="s">
        <v>334</v>
      </c>
      <c r="F315" s="2" t="s">
        <v>17</v>
      </c>
      <c r="G315" s="2">
        <v>52</v>
      </c>
      <c r="H315" s="2" t="s">
        <v>21</v>
      </c>
      <c r="I315" s="2">
        <v>4</v>
      </c>
      <c r="J315" s="2">
        <v>30</v>
      </c>
      <c r="K315" s="2">
        <v>120</v>
      </c>
      <c r="M315" s="2">
        <v>120</v>
      </c>
      <c r="N315" t="str" cm="1">
        <f t="array" ref="N315">IF(M315=Table5[[#This Row],[Total Amount]],"Correct",Check)</f>
        <v>Correct</v>
      </c>
    </row>
    <row r="316" spans="3:14" x14ac:dyDescent="0.25">
      <c r="C316" s="2">
        <v>315</v>
      </c>
      <c r="D316" s="10">
        <v>45078</v>
      </c>
      <c r="E316" s="2" t="s">
        <v>335</v>
      </c>
      <c r="F316" s="2" t="s">
        <v>17</v>
      </c>
      <c r="G316" s="2">
        <v>47</v>
      </c>
      <c r="H316" s="2" t="s">
        <v>21</v>
      </c>
      <c r="I316" s="2">
        <v>2</v>
      </c>
      <c r="J316" s="2">
        <v>30</v>
      </c>
      <c r="K316" s="2">
        <v>60</v>
      </c>
      <c r="M316" s="2">
        <v>60</v>
      </c>
      <c r="N316" t="str" cm="1">
        <f t="array" ref="N316">IF(M316=Table5[[#This Row],[Total Amount]],"Correct",Check)</f>
        <v>Correct</v>
      </c>
    </row>
    <row r="317" spans="3:14" x14ac:dyDescent="0.25">
      <c r="C317" s="2">
        <v>316</v>
      </c>
      <c r="D317" s="10">
        <v>45038</v>
      </c>
      <c r="E317" s="2" t="s">
        <v>336</v>
      </c>
      <c r="F317" s="2" t="s">
        <v>20</v>
      </c>
      <c r="G317" s="2">
        <v>48</v>
      </c>
      <c r="H317" s="2" t="s">
        <v>21</v>
      </c>
      <c r="I317" s="2">
        <v>2</v>
      </c>
      <c r="J317" s="2">
        <v>25</v>
      </c>
      <c r="K317" s="2">
        <v>50</v>
      </c>
      <c r="M317" s="2">
        <v>50</v>
      </c>
      <c r="N317" t="str" cm="1">
        <f t="array" ref="N317">IF(M317=Table5[[#This Row],[Total Amount]],"Correct",Check)</f>
        <v>Correct</v>
      </c>
    </row>
    <row r="318" spans="3:14" x14ac:dyDescent="0.25">
      <c r="C318" s="2">
        <v>317</v>
      </c>
      <c r="D318" s="10">
        <v>44956</v>
      </c>
      <c r="E318" s="2" t="s">
        <v>337</v>
      </c>
      <c r="F318" s="2" t="s">
        <v>17</v>
      </c>
      <c r="G318" s="2">
        <v>22</v>
      </c>
      <c r="H318" s="2" t="s">
        <v>23</v>
      </c>
      <c r="I318" s="2">
        <v>3</v>
      </c>
      <c r="J318" s="2">
        <v>30</v>
      </c>
      <c r="K318" s="2">
        <v>90</v>
      </c>
      <c r="M318" s="2">
        <v>90</v>
      </c>
      <c r="N318" t="str" cm="1">
        <f t="array" ref="N318">IF(M318=Table5[[#This Row],[Total Amount]],"Correct",Check)</f>
        <v>Correct</v>
      </c>
    </row>
    <row r="319" spans="3:14" x14ac:dyDescent="0.25">
      <c r="C319" s="2">
        <v>318</v>
      </c>
      <c r="D319" s="10">
        <v>45223</v>
      </c>
      <c r="E319" s="2" t="s">
        <v>338</v>
      </c>
      <c r="F319" s="2" t="s">
        <v>17</v>
      </c>
      <c r="G319" s="2">
        <v>61</v>
      </c>
      <c r="H319" s="2" t="s">
        <v>21</v>
      </c>
      <c r="I319" s="2">
        <v>1</v>
      </c>
      <c r="J319" s="2">
        <v>25</v>
      </c>
      <c r="K319" s="2">
        <v>25</v>
      </c>
      <c r="M319" s="2">
        <v>25</v>
      </c>
      <c r="N319" t="str" cm="1">
        <f t="array" ref="N319">IF(M319=Table5[[#This Row],[Total Amount]],"Correct",Check)</f>
        <v>Correct</v>
      </c>
    </row>
    <row r="320" spans="3:14" x14ac:dyDescent="0.25">
      <c r="C320" s="2">
        <v>319</v>
      </c>
      <c r="D320" s="10">
        <v>45204</v>
      </c>
      <c r="E320" s="2" t="s">
        <v>339</v>
      </c>
      <c r="F320" s="2" t="s">
        <v>17</v>
      </c>
      <c r="G320" s="2">
        <v>31</v>
      </c>
      <c r="H320" s="2" t="s">
        <v>21</v>
      </c>
      <c r="I320" s="2">
        <v>1</v>
      </c>
      <c r="J320" s="2">
        <v>500</v>
      </c>
      <c r="K320" s="2">
        <v>500</v>
      </c>
      <c r="M320" s="2">
        <v>500</v>
      </c>
      <c r="N320" t="str" cm="1">
        <f t="array" ref="N320">IF(M320=Table5[[#This Row],[Total Amount]],"Correct",Check)</f>
        <v>Correct</v>
      </c>
    </row>
    <row r="321" spans="3:14" x14ac:dyDescent="0.25">
      <c r="C321" s="2">
        <v>320</v>
      </c>
      <c r="D321" s="10">
        <v>44958</v>
      </c>
      <c r="E321" s="2" t="s">
        <v>340</v>
      </c>
      <c r="F321" s="2" t="s">
        <v>20</v>
      </c>
      <c r="G321" s="2">
        <v>28</v>
      </c>
      <c r="H321" s="2" t="s">
        <v>23</v>
      </c>
      <c r="I321" s="2">
        <v>4</v>
      </c>
      <c r="J321" s="2">
        <v>300</v>
      </c>
      <c r="K321" s="2">
        <v>1200</v>
      </c>
      <c r="M321" s="2">
        <v>1200</v>
      </c>
      <c r="N321" t="str" cm="1">
        <f t="array" ref="N321">IF(M321=Table5[[#This Row],[Total Amount]],"Correct",Check)</f>
        <v>Correct</v>
      </c>
    </row>
    <row r="322" spans="3:14" x14ac:dyDescent="0.25">
      <c r="C322" s="2">
        <v>321</v>
      </c>
      <c r="D322" s="10">
        <v>45087</v>
      </c>
      <c r="E322" s="2" t="s">
        <v>341</v>
      </c>
      <c r="F322" s="2" t="s">
        <v>20</v>
      </c>
      <c r="G322" s="2">
        <v>26</v>
      </c>
      <c r="H322" s="2" t="s">
        <v>23</v>
      </c>
      <c r="I322" s="2">
        <v>2</v>
      </c>
      <c r="J322" s="2">
        <v>25</v>
      </c>
      <c r="K322" s="2">
        <v>50</v>
      </c>
      <c r="M322" s="2">
        <v>50</v>
      </c>
      <c r="N322" t="str" cm="1">
        <f t="array" ref="N322">IF(M322=Table5[[#This Row],[Total Amount]],"Correct",Check)</f>
        <v>Correct</v>
      </c>
    </row>
    <row r="323" spans="3:14" x14ac:dyDescent="0.25">
      <c r="C323" s="2">
        <v>322</v>
      </c>
      <c r="D323" s="10">
        <v>44956</v>
      </c>
      <c r="E323" s="2" t="s">
        <v>342</v>
      </c>
      <c r="F323" s="2" t="s">
        <v>17</v>
      </c>
      <c r="G323" s="2">
        <v>51</v>
      </c>
      <c r="H323" s="2" t="s">
        <v>23</v>
      </c>
      <c r="I323" s="2">
        <v>1</v>
      </c>
      <c r="J323" s="2">
        <v>500</v>
      </c>
      <c r="K323" s="2">
        <v>500</v>
      </c>
      <c r="M323" s="2">
        <v>500</v>
      </c>
      <c r="N323" t="str" cm="1">
        <f t="array" ref="N323">IF(M323=Table5[[#This Row],[Total Amount]],"Correct",Check)</f>
        <v>Correct</v>
      </c>
    </row>
    <row r="324" spans="3:14" x14ac:dyDescent="0.25">
      <c r="C324" s="2">
        <v>323</v>
      </c>
      <c r="D324" s="10">
        <v>44952</v>
      </c>
      <c r="E324" s="2" t="s">
        <v>343</v>
      </c>
      <c r="F324" s="2" t="s">
        <v>20</v>
      </c>
      <c r="G324" s="2">
        <v>29</v>
      </c>
      <c r="H324" s="2" t="s">
        <v>18</v>
      </c>
      <c r="I324" s="2">
        <v>3</v>
      </c>
      <c r="J324" s="2">
        <v>300</v>
      </c>
      <c r="K324" s="2">
        <v>900</v>
      </c>
      <c r="M324" s="2">
        <v>900</v>
      </c>
      <c r="N324" t="str" cm="1">
        <f t="array" ref="N324">IF(M324=Table5[[#This Row],[Total Amount]],"Correct",Check)</f>
        <v>Correct</v>
      </c>
    </row>
    <row r="325" spans="3:14" x14ac:dyDescent="0.25">
      <c r="C325" s="2">
        <v>324</v>
      </c>
      <c r="D325" s="10">
        <v>45226</v>
      </c>
      <c r="E325" s="2" t="s">
        <v>344</v>
      </c>
      <c r="F325" s="2" t="s">
        <v>20</v>
      </c>
      <c r="G325" s="2">
        <v>52</v>
      </c>
      <c r="H325" s="2" t="s">
        <v>23</v>
      </c>
      <c r="I325" s="2">
        <v>3</v>
      </c>
      <c r="J325" s="2">
        <v>50</v>
      </c>
      <c r="K325" s="2">
        <v>150</v>
      </c>
      <c r="M325" s="2">
        <v>150</v>
      </c>
      <c r="N325" t="str" cm="1">
        <f t="array" ref="N325">IF(M325=Table5[[#This Row],[Total Amount]],"Correct",Check)</f>
        <v>Correct</v>
      </c>
    </row>
    <row r="326" spans="3:14" x14ac:dyDescent="0.25">
      <c r="C326" s="2">
        <v>325</v>
      </c>
      <c r="D326" s="10">
        <v>45171</v>
      </c>
      <c r="E326" s="2" t="s">
        <v>345</v>
      </c>
      <c r="F326" s="2" t="s">
        <v>20</v>
      </c>
      <c r="G326" s="2">
        <v>52</v>
      </c>
      <c r="H326" s="2" t="s">
        <v>23</v>
      </c>
      <c r="I326" s="2">
        <v>2</v>
      </c>
      <c r="J326" s="2">
        <v>25</v>
      </c>
      <c r="K326" s="2">
        <v>50</v>
      </c>
      <c r="M326" s="2">
        <v>50</v>
      </c>
      <c r="N326" t="str" cm="1">
        <f t="array" ref="N326">IF(M326=Table5[[#This Row],[Total Amount]],"Correct",Check)</f>
        <v>Correct</v>
      </c>
    </row>
    <row r="327" spans="3:14" x14ac:dyDescent="0.25">
      <c r="C327" s="2">
        <v>326</v>
      </c>
      <c r="D327" s="10">
        <v>45184</v>
      </c>
      <c r="E327" s="2" t="s">
        <v>346</v>
      </c>
      <c r="F327" s="2" t="s">
        <v>20</v>
      </c>
      <c r="G327" s="2">
        <v>18</v>
      </c>
      <c r="H327" s="2" t="s">
        <v>21</v>
      </c>
      <c r="I327" s="2">
        <v>3</v>
      </c>
      <c r="J327" s="2">
        <v>25</v>
      </c>
      <c r="K327" s="2">
        <v>75</v>
      </c>
      <c r="M327" s="2">
        <v>75</v>
      </c>
      <c r="N327" t="str" cm="1">
        <f t="array" ref="N327">IF(M327=Table5[[#This Row],[Total Amount]],"Correct",Check)</f>
        <v>Correct</v>
      </c>
    </row>
    <row r="328" spans="3:14" x14ac:dyDescent="0.25">
      <c r="C328" s="2">
        <v>327</v>
      </c>
      <c r="D328" s="10">
        <v>45198</v>
      </c>
      <c r="E328" s="2" t="s">
        <v>347</v>
      </c>
      <c r="F328" s="2" t="s">
        <v>17</v>
      </c>
      <c r="G328" s="2">
        <v>57</v>
      </c>
      <c r="H328" s="2" t="s">
        <v>23</v>
      </c>
      <c r="I328" s="2">
        <v>3</v>
      </c>
      <c r="J328" s="2">
        <v>50</v>
      </c>
      <c r="K328" s="2">
        <v>150</v>
      </c>
      <c r="M328" s="2">
        <v>150</v>
      </c>
      <c r="N328" t="str" cm="1">
        <f t="array" ref="N328">IF(M328=Table5[[#This Row],[Total Amount]],"Correct",Check)</f>
        <v>Correct</v>
      </c>
    </row>
    <row r="329" spans="3:14" x14ac:dyDescent="0.25">
      <c r="C329" s="2">
        <v>328</v>
      </c>
      <c r="D329" s="10">
        <v>45007</v>
      </c>
      <c r="E329" s="2" t="s">
        <v>348</v>
      </c>
      <c r="F329" s="2" t="s">
        <v>17</v>
      </c>
      <c r="G329" s="2">
        <v>39</v>
      </c>
      <c r="H329" s="2" t="s">
        <v>18</v>
      </c>
      <c r="I329" s="2">
        <v>2</v>
      </c>
      <c r="J329" s="2">
        <v>50</v>
      </c>
      <c r="K329" s="2">
        <v>100</v>
      </c>
      <c r="M329" s="2">
        <v>100</v>
      </c>
      <c r="N329" t="str" cm="1">
        <f t="array" ref="N329">IF(M329=Table5[[#This Row],[Total Amount]],"Correct",Check)</f>
        <v>Correct</v>
      </c>
    </row>
    <row r="330" spans="3:14" x14ac:dyDescent="0.25">
      <c r="C330" s="2">
        <v>329</v>
      </c>
      <c r="D330" s="10">
        <v>44956</v>
      </c>
      <c r="E330" s="2" t="s">
        <v>349</v>
      </c>
      <c r="F330" s="2" t="s">
        <v>20</v>
      </c>
      <c r="G330" s="2">
        <v>46</v>
      </c>
      <c r="H330" s="2" t="s">
        <v>23</v>
      </c>
      <c r="I330" s="2">
        <v>4</v>
      </c>
      <c r="J330" s="2">
        <v>25</v>
      </c>
      <c r="K330" s="2">
        <v>100</v>
      </c>
      <c r="M330" s="2">
        <v>100</v>
      </c>
      <c r="N330" t="str" cm="1">
        <f t="array" ref="N330">IF(M330=Table5[[#This Row],[Total Amount]],"Correct",Check)</f>
        <v>Correct</v>
      </c>
    </row>
    <row r="331" spans="3:14" x14ac:dyDescent="0.25">
      <c r="C331" s="2">
        <v>330</v>
      </c>
      <c r="D331" s="10">
        <v>45187</v>
      </c>
      <c r="E331" s="2" t="s">
        <v>350</v>
      </c>
      <c r="F331" s="2" t="s">
        <v>20</v>
      </c>
      <c r="G331" s="2">
        <v>25</v>
      </c>
      <c r="H331" s="2" t="s">
        <v>18</v>
      </c>
      <c r="I331" s="2">
        <v>4</v>
      </c>
      <c r="J331" s="2">
        <v>50</v>
      </c>
      <c r="K331" s="2">
        <v>200</v>
      </c>
      <c r="M331" s="2">
        <v>200</v>
      </c>
      <c r="N331" t="str" cm="1">
        <f t="array" ref="N331">IF(M331=Table5[[#This Row],[Total Amount]],"Correct",Check)</f>
        <v>Correct</v>
      </c>
    </row>
    <row r="332" spans="3:14" x14ac:dyDescent="0.25">
      <c r="C332" s="2">
        <v>331</v>
      </c>
      <c r="D332" s="10">
        <v>44968</v>
      </c>
      <c r="E332" s="2" t="s">
        <v>351</v>
      </c>
      <c r="F332" s="2" t="s">
        <v>17</v>
      </c>
      <c r="G332" s="2">
        <v>28</v>
      </c>
      <c r="H332" s="2" t="s">
        <v>23</v>
      </c>
      <c r="I332" s="2">
        <v>3</v>
      </c>
      <c r="J332" s="2">
        <v>30</v>
      </c>
      <c r="K332" s="2">
        <v>90</v>
      </c>
      <c r="M332" s="2">
        <v>90</v>
      </c>
      <c r="N332" t="str" cm="1">
        <f t="array" ref="N332">IF(M332=Table5[[#This Row],[Total Amount]],"Correct",Check)</f>
        <v>Correct</v>
      </c>
    </row>
    <row r="333" spans="3:14" x14ac:dyDescent="0.25">
      <c r="C333" s="2">
        <v>332</v>
      </c>
      <c r="D333" s="10">
        <v>45022</v>
      </c>
      <c r="E333" s="2" t="s">
        <v>352</v>
      </c>
      <c r="F333" s="2" t="s">
        <v>17</v>
      </c>
      <c r="G333" s="2">
        <v>58</v>
      </c>
      <c r="H333" s="2" t="s">
        <v>23</v>
      </c>
      <c r="I333" s="2">
        <v>4</v>
      </c>
      <c r="J333" s="2">
        <v>300</v>
      </c>
      <c r="K333" s="2">
        <v>1200</v>
      </c>
      <c r="M333" s="2">
        <v>1200</v>
      </c>
      <c r="N333" t="str" cm="1">
        <f t="array" ref="N333">IF(M333=Table5[[#This Row],[Total Amount]],"Correct",Check)</f>
        <v>Correct</v>
      </c>
    </row>
    <row r="334" spans="3:14" x14ac:dyDescent="0.25">
      <c r="C334" s="2">
        <v>333</v>
      </c>
      <c r="D334" s="10">
        <v>44962</v>
      </c>
      <c r="E334" s="2" t="s">
        <v>353</v>
      </c>
      <c r="F334" s="2" t="s">
        <v>20</v>
      </c>
      <c r="G334" s="2">
        <v>54</v>
      </c>
      <c r="H334" s="2" t="s">
        <v>23</v>
      </c>
      <c r="I334" s="2">
        <v>4</v>
      </c>
      <c r="J334" s="2">
        <v>300</v>
      </c>
      <c r="K334" s="2">
        <v>1200</v>
      </c>
      <c r="M334" s="2">
        <v>1200</v>
      </c>
      <c r="N334" t="str" cm="1">
        <f t="array" ref="N334">IF(M334=Table5[[#This Row],[Total Amount]],"Correct",Check)</f>
        <v>Correct</v>
      </c>
    </row>
    <row r="335" spans="3:14" x14ac:dyDescent="0.25">
      <c r="C335" s="2">
        <v>334</v>
      </c>
      <c r="D335" s="10">
        <v>45231</v>
      </c>
      <c r="E335" s="2" t="s">
        <v>354</v>
      </c>
      <c r="F335" s="2" t="s">
        <v>17</v>
      </c>
      <c r="G335" s="2">
        <v>31</v>
      </c>
      <c r="H335" s="2" t="s">
        <v>23</v>
      </c>
      <c r="I335" s="2">
        <v>3</v>
      </c>
      <c r="J335" s="2">
        <v>300</v>
      </c>
      <c r="K335" s="2">
        <v>900</v>
      </c>
      <c r="M335" s="2">
        <v>900</v>
      </c>
      <c r="N335" t="str" cm="1">
        <f t="array" ref="N335">IF(M335=Table5[[#This Row],[Total Amount]],"Correct",Check)</f>
        <v>Correct</v>
      </c>
    </row>
    <row r="336" spans="3:14" x14ac:dyDescent="0.25">
      <c r="C336" s="2">
        <v>335</v>
      </c>
      <c r="D336" s="10">
        <v>44961</v>
      </c>
      <c r="E336" s="2" t="s">
        <v>355</v>
      </c>
      <c r="F336" s="2" t="s">
        <v>20</v>
      </c>
      <c r="G336" s="2">
        <v>47</v>
      </c>
      <c r="H336" s="2" t="s">
        <v>18</v>
      </c>
      <c r="I336" s="2">
        <v>4</v>
      </c>
      <c r="J336" s="2">
        <v>30</v>
      </c>
      <c r="K336" s="2">
        <v>120</v>
      </c>
      <c r="M336" s="2">
        <v>120</v>
      </c>
      <c r="N336" t="str" cm="1">
        <f t="array" ref="N336">IF(M336=Table5[[#This Row],[Total Amount]],"Correct",Check)</f>
        <v>Correct</v>
      </c>
    </row>
    <row r="337" spans="3:14" x14ac:dyDescent="0.25">
      <c r="C337" s="2">
        <v>336</v>
      </c>
      <c r="D337" s="10">
        <v>45272</v>
      </c>
      <c r="E337" s="2" t="s">
        <v>356</v>
      </c>
      <c r="F337" s="2" t="s">
        <v>20</v>
      </c>
      <c r="G337" s="2">
        <v>52</v>
      </c>
      <c r="H337" s="2" t="s">
        <v>18</v>
      </c>
      <c r="I337" s="2">
        <v>3</v>
      </c>
      <c r="J337" s="2">
        <v>50</v>
      </c>
      <c r="K337" s="2">
        <v>150</v>
      </c>
      <c r="M337" s="2">
        <v>150</v>
      </c>
      <c r="N337" t="str" cm="1">
        <f t="array" ref="N337">IF(M337=Table5[[#This Row],[Total Amount]],"Correct",Check)</f>
        <v>Correct</v>
      </c>
    </row>
    <row r="338" spans="3:14" x14ac:dyDescent="0.25">
      <c r="C338" s="2">
        <v>337</v>
      </c>
      <c r="D338" s="10">
        <v>45047</v>
      </c>
      <c r="E338" s="2" t="s">
        <v>357</v>
      </c>
      <c r="F338" s="2" t="s">
        <v>17</v>
      </c>
      <c r="G338" s="2">
        <v>38</v>
      </c>
      <c r="H338" s="2" t="s">
        <v>21</v>
      </c>
      <c r="I338" s="2">
        <v>1</v>
      </c>
      <c r="J338" s="2">
        <v>500</v>
      </c>
      <c r="K338" s="2">
        <v>500</v>
      </c>
      <c r="M338" s="2">
        <v>500</v>
      </c>
      <c r="N338" t="str" cm="1">
        <f t="array" ref="N338">IF(M338=Table5[[#This Row],[Total Amount]],"Correct",Check)</f>
        <v>Correct</v>
      </c>
    </row>
    <row r="339" spans="3:14" x14ac:dyDescent="0.25">
      <c r="C339" s="2">
        <v>338</v>
      </c>
      <c r="D339" s="10">
        <v>45133</v>
      </c>
      <c r="E339" s="2" t="s">
        <v>358</v>
      </c>
      <c r="F339" s="2" t="s">
        <v>17</v>
      </c>
      <c r="G339" s="2">
        <v>54</v>
      </c>
      <c r="H339" s="2" t="s">
        <v>18</v>
      </c>
      <c r="I339" s="2">
        <v>2</v>
      </c>
      <c r="J339" s="2">
        <v>50</v>
      </c>
      <c r="K339" s="2">
        <v>100</v>
      </c>
      <c r="M339" s="2">
        <v>100</v>
      </c>
      <c r="N339" t="str" cm="1">
        <f t="array" ref="N339">IF(M339=Table5[[#This Row],[Total Amount]],"Correct",Check)</f>
        <v>Correct</v>
      </c>
    </row>
    <row r="340" spans="3:14" x14ac:dyDescent="0.25">
      <c r="C340" s="2">
        <v>339</v>
      </c>
      <c r="D340" s="10">
        <v>44988</v>
      </c>
      <c r="E340" s="2" t="s">
        <v>359</v>
      </c>
      <c r="F340" s="2" t="s">
        <v>20</v>
      </c>
      <c r="G340" s="2">
        <v>22</v>
      </c>
      <c r="H340" s="2" t="s">
        <v>23</v>
      </c>
      <c r="I340" s="2">
        <v>2</v>
      </c>
      <c r="J340" s="2">
        <v>25</v>
      </c>
      <c r="K340" s="2">
        <v>50</v>
      </c>
      <c r="M340" s="2">
        <v>50</v>
      </c>
      <c r="N340" t="str" cm="1">
        <f t="array" ref="N340">IF(M340=Table5[[#This Row],[Total Amount]],"Correct",Check)</f>
        <v>Correct</v>
      </c>
    </row>
    <row r="341" spans="3:14" x14ac:dyDescent="0.25">
      <c r="C341" s="2">
        <v>340</v>
      </c>
      <c r="D341" s="10">
        <v>45218</v>
      </c>
      <c r="E341" s="2" t="s">
        <v>360</v>
      </c>
      <c r="F341" s="2" t="s">
        <v>20</v>
      </c>
      <c r="G341" s="2">
        <v>36</v>
      </c>
      <c r="H341" s="2" t="s">
        <v>21</v>
      </c>
      <c r="I341" s="2">
        <v>4</v>
      </c>
      <c r="J341" s="2">
        <v>300</v>
      </c>
      <c r="K341" s="2">
        <v>1200</v>
      </c>
      <c r="M341" s="2">
        <v>1200</v>
      </c>
      <c r="N341" t="str" cm="1">
        <f t="array" ref="N341">IF(M341=Table5[[#This Row],[Total Amount]],"Correct",Check)</f>
        <v>Correct</v>
      </c>
    </row>
    <row r="342" spans="3:14" x14ac:dyDescent="0.25">
      <c r="C342" s="2">
        <v>341</v>
      </c>
      <c r="D342" s="10">
        <v>45053</v>
      </c>
      <c r="E342" s="2" t="s">
        <v>361</v>
      </c>
      <c r="F342" s="2" t="s">
        <v>17</v>
      </c>
      <c r="G342" s="2">
        <v>31</v>
      </c>
      <c r="H342" s="2" t="s">
        <v>21</v>
      </c>
      <c r="I342" s="2">
        <v>4</v>
      </c>
      <c r="J342" s="2">
        <v>50</v>
      </c>
      <c r="K342" s="2">
        <v>200</v>
      </c>
      <c r="M342" s="2">
        <v>200</v>
      </c>
      <c r="N342" t="str" cm="1">
        <f t="array" ref="N342">IF(M342=Table5[[#This Row],[Total Amount]],"Correct",Check)</f>
        <v>Correct</v>
      </c>
    </row>
    <row r="343" spans="3:14" x14ac:dyDescent="0.25">
      <c r="C343" s="2">
        <v>342</v>
      </c>
      <c r="D343" s="10">
        <v>45223</v>
      </c>
      <c r="E343" s="2" t="s">
        <v>362</v>
      </c>
      <c r="F343" s="2" t="s">
        <v>20</v>
      </c>
      <c r="G343" s="2">
        <v>43</v>
      </c>
      <c r="H343" s="2" t="s">
        <v>21</v>
      </c>
      <c r="I343" s="2">
        <v>4</v>
      </c>
      <c r="J343" s="2">
        <v>500</v>
      </c>
      <c r="K343" s="2">
        <v>2000</v>
      </c>
      <c r="M343" s="2">
        <v>2000</v>
      </c>
      <c r="N343" t="str" cm="1">
        <f t="array" ref="N343">IF(M343=Table5[[#This Row],[Total Amount]],"Correct",Check)</f>
        <v>Correct</v>
      </c>
    </row>
    <row r="344" spans="3:14" x14ac:dyDescent="0.25">
      <c r="C344" s="2">
        <v>343</v>
      </c>
      <c r="D344" s="10">
        <v>45231</v>
      </c>
      <c r="E344" s="2" t="s">
        <v>363</v>
      </c>
      <c r="F344" s="2" t="s">
        <v>17</v>
      </c>
      <c r="G344" s="2">
        <v>21</v>
      </c>
      <c r="H344" s="2" t="s">
        <v>23</v>
      </c>
      <c r="I344" s="2">
        <v>2</v>
      </c>
      <c r="J344" s="2">
        <v>25</v>
      </c>
      <c r="K344" s="2">
        <v>50</v>
      </c>
      <c r="M344" s="2">
        <v>50</v>
      </c>
      <c r="N344" t="str" cm="1">
        <f t="array" ref="N344">IF(M344=Table5[[#This Row],[Total Amount]],"Correct",Check)</f>
        <v>Correct</v>
      </c>
    </row>
    <row r="345" spans="3:14" x14ac:dyDescent="0.25">
      <c r="C345" s="2">
        <v>344</v>
      </c>
      <c r="D345" s="10">
        <v>44947</v>
      </c>
      <c r="E345" s="2" t="s">
        <v>364</v>
      </c>
      <c r="F345" s="2" t="s">
        <v>20</v>
      </c>
      <c r="G345" s="2">
        <v>42</v>
      </c>
      <c r="H345" s="2" t="s">
        <v>18</v>
      </c>
      <c r="I345" s="2">
        <v>1</v>
      </c>
      <c r="J345" s="2">
        <v>30</v>
      </c>
      <c r="K345" s="2">
        <v>30</v>
      </c>
      <c r="M345" s="2">
        <v>30</v>
      </c>
      <c r="N345" t="str" cm="1">
        <f t="array" ref="N345">IF(M345=Table5[[#This Row],[Total Amount]],"Correct",Check)</f>
        <v>Correct</v>
      </c>
    </row>
    <row r="346" spans="3:14" x14ac:dyDescent="0.25">
      <c r="C346" s="2">
        <v>345</v>
      </c>
      <c r="D346" s="10">
        <v>45244</v>
      </c>
      <c r="E346" s="2" t="s">
        <v>365</v>
      </c>
      <c r="F346" s="2" t="s">
        <v>17</v>
      </c>
      <c r="G346" s="2">
        <v>62</v>
      </c>
      <c r="H346" s="2" t="s">
        <v>23</v>
      </c>
      <c r="I346" s="2">
        <v>1</v>
      </c>
      <c r="J346" s="2">
        <v>30</v>
      </c>
      <c r="K346" s="2">
        <v>30</v>
      </c>
      <c r="M346" s="2">
        <v>30</v>
      </c>
      <c r="N346" t="str" cm="1">
        <f t="array" ref="N346">IF(M346=Table5[[#This Row],[Total Amount]],"Correct",Check)</f>
        <v>Correct</v>
      </c>
    </row>
    <row r="347" spans="3:14" x14ac:dyDescent="0.25">
      <c r="C347" s="2">
        <v>346</v>
      </c>
      <c r="D347" s="10">
        <v>44968</v>
      </c>
      <c r="E347" s="2" t="s">
        <v>366</v>
      </c>
      <c r="F347" s="2" t="s">
        <v>17</v>
      </c>
      <c r="G347" s="2">
        <v>59</v>
      </c>
      <c r="H347" s="2" t="s">
        <v>21</v>
      </c>
      <c r="I347" s="2">
        <v>2</v>
      </c>
      <c r="J347" s="2">
        <v>500</v>
      </c>
      <c r="K347" s="2">
        <v>1000</v>
      </c>
      <c r="M347" s="2">
        <v>1000</v>
      </c>
      <c r="N347" t="str" cm="1">
        <f t="array" ref="N347">IF(M347=Table5[[#This Row],[Total Amount]],"Correct",Check)</f>
        <v>Correct</v>
      </c>
    </row>
    <row r="348" spans="3:14" x14ac:dyDescent="0.25">
      <c r="C348" s="2">
        <v>347</v>
      </c>
      <c r="D348" s="10">
        <v>45141</v>
      </c>
      <c r="E348" s="2" t="s">
        <v>367</v>
      </c>
      <c r="F348" s="2" t="s">
        <v>17</v>
      </c>
      <c r="G348" s="2">
        <v>42</v>
      </c>
      <c r="H348" s="2" t="s">
        <v>23</v>
      </c>
      <c r="I348" s="2">
        <v>1</v>
      </c>
      <c r="J348" s="2">
        <v>25</v>
      </c>
      <c r="K348" s="2">
        <v>25</v>
      </c>
      <c r="M348" s="2">
        <v>25</v>
      </c>
      <c r="N348" t="str" cm="1">
        <f t="array" ref="N348">IF(M348=Table5[[#This Row],[Total Amount]],"Correct",Check)</f>
        <v>Correct</v>
      </c>
    </row>
    <row r="349" spans="3:14" x14ac:dyDescent="0.25">
      <c r="C349" s="2">
        <v>348</v>
      </c>
      <c r="D349" s="10">
        <v>45263</v>
      </c>
      <c r="E349" s="2" t="s">
        <v>368</v>
      </c>
      <c r="F349" s="2" t="s">
        <v>20</v>
      </c>
      <c r="G349" s="2">
        <v>35</v>
      </c>
      <c r="H349" s="2" t="s">
        <v>23</v>
      </c>
      <c r="I349" s="2">
        <v>2</v>
      </c>
      <c r="J349" s="2">
        <v>300</v>
      </c>
      <c r="K349" s="2">
        <v>600</v>
      </c>
      <c r="M349" s="2">
        <v>600</v>
      </c>
      <c r="N349" t="str" cm="1">
        <f t="array" ref="N349">IF(M349=Table5[[#This Row],[Total Amount]],"Correct",Check)</f>
        <v>Correct</v>
      </c>
    </row>
    <row r="350" spans="3:14" x14ac:dyDescent="0.25">
      <c r="C350" s="2">
        <v>349</v>
      </c>
      <c r="D350" s="10">
        <v>45225</v>
      </c>
      <c r="E350" s="2" t="s">
        <v>369</v>
      </c>
      <c r="F350" s="2" t="s">
        <v>20</v>
      </c>
      <c r="G350" s="2">
        <v>57</v>
      </c>
      <c r="H350" s="2" t="s">
        <v>18</v>
      </c>
      <c r="I350" s="2">
        <v>1</v>
      </c>
      <c r="J350" s="2">
        <v>50</v>
      </c>
      <c r="K350" s="2">
        <v>50</v>
      </c>
      <c r="M350" s="2">
        <v>50</v>
      </c>
      <c r="N350" t="str" cm="1">
        <f t="array" ref="N350">IF(M350=Table5[[#This Row],[Total Amount]],"Correct",Check)</f>
        <v>Correct</v>
      </c>
    </row>
    <row r="351" spans="3:14" x14ac:dyDescent="0.25">
      <c r="C351" s="2">
        <v>350</v>
      </c>
      <c r="D351" s="10">
        <v>45216</v>
      </c>
      <c r="E351" s="2" t="s">
        <v>370</v>
      </c>
      <c r="F351" s="2" t="s">
        <v>17</v>
      </c>
      <c r="G351" s="2">
        <v>25</v>
      </c>
      <c r="H351" s="2" t="s">
        <v>18</v>
      </c>
      <c r="I351" s="2">
        <v>3</v>
      </c>
      <c r="J351" s="2">
        <v>25</v>
      </c>
      <c r="K351" s="2">
        <v>75</v>
      </c>
      <c r="M351" s="2">
        <v>75</v>
      </c>
      <c r="N351" t="str" cm="1">
        <f t="array" ref="N351">IF(M351=Table5[[#This Row],[Total Amount]],"Correct",Check)</f>
        <v>Correct</v>
      </c>
    </row>
    <row r="352" spans="3:14" x14ac:dyDescent="0.25">
      <c r="C352" s="2">
        <v>351</v>
      </c>
      <c r="D352" s="10">
        <v>45194</v>
      </c>
      <c r="E352" s="2" t="s">
        <v>371</v>
      </c>
      <c r="F352" s="2" t="s">
        <v>20</v>
      </c>
      <c r="G352" s="2">
        <v>56</v>
      </c>
      <c r="H352" s="2" t="s">
        <v>21</v>
      </c>
      <c r="I352" s="2">
        <v>3</v>
      </c>
      <c r="J352" s="2">
        <v>30</v>
      </c>
      <c r="K352" s="2">
        <v>90</v>
      </c>
      <c r="M352" s="2">
        <v>90</v>
      </c>
      <c r="N352" t="str" cm="1">
        <f t="array" ref="N352">IF(M352=Table5[[#This Row],[Total Amount]],"Correct",Check)</f>
        <v>Correct</v>
      </c>
    </row>
    <row r="353" spans="3:14" x14ac:dyDescent="0.25">
      <c r="C353" s="2">
        <v>352</v>
      </c>
      <c r="D353" s="10">
        <v>45088</v>
      </c>
      <c r="E353" s="2" t="s">
        <v>372</v>
      </c>
      <c r="F353" s="2" t="s">
        <v>17</v>
      </c>
      <c r="G353" s="2">
        <v>57</v>
      </c>
      <c r="H353" s="2" t="s">
        <v>23</v>
      </c>
      <c r="I353" s="2">
        <v>2</v>
      </c>
      <c r="J353" s="2">
        <v>500</v>
      </c>
      <c r="K353" s="2">
        <v>1000</v>
      </c>
      <c r="M353" s="2">
        <v>1000</v>
      </c>
      <c r="N353" t="str" cm="1">
        <f t="array" ref="N353">IF(M353=Table5[[#This Row],[Total Amount]],"Correct",Check)</f>
        <v>Correct</v>
      </c>
    </row>
    <row r="354" spans="3:14" x14ac:dyDescent="0.25">
      <c r="C354" s="2">
        <v>353</v>
      </c>
      <c r="D354" s="10">
        <v>45060</v>
      </c>
      <c r="E354" s="2" t="s">
        <v>373</v>
      </c>
      <c r="F354" s="2" t="s">
        <v>17</v>
      </c>
      <c r="G354" s="2">
        <v>31</v>
      </c>
      <c r="H354" s="2" t="s">
        <v>23</v>
      </c>
      <c r="I354" s="2">
        <v>1</v>
      </c>
      <c r="J354" s="2">
        <v>500</v>
      </c>
      <c r="K354" s="2">
        <v>500</v>
      </c>
      <c r="M354" s="2">
        <v>500</v>
      </c>
      <c r="N354" t="str" cm="1">
        <f t="array" ref="N354">IF(M354=Table5[[#This Row],[Total Amount]],"Correct",Check)</f>
        <v>Correct</v>
      </c>
    </row>
    <row r="355" spans="3:14" x14ac:dyDescent="0.25">
      <c r="C355" s="2">
        <v>354</v>
      </c>
      <c r="D355" s="10">
        <v>45031</v>
      </c>
      <c r="E355" s="2" t="s">
        <v>374</v>
      </c>
      <c r="F355" s="2" t="s">
        <v>20</v>
      </c>
      <c r="G355" s="2">
        <v>49</v>
      </c>
      <c r="H355" s="2" t="s">
        <v>18</v>
      </c>
      <c r="I355" s="2">
        <v>4</v>
      </c>
      <c r="J355" s="2">
        <v>50</v>
      </c>
      <c r="K355" s="2">
        <v>200</v>
      </c>
      <c r="M355" s="2">
        <v>200</v>
      </c>
      <c r="N355" t="str" cm="1">
        <f t="array" ref="N355">IF(M355=Table5[[#This Row],[Total Amount]],"Correct",Check)</f>
        <v>Correct</v>
      </c>
    </row>
    <row r="356" spans="3:14" x14ac:dyDescent="0.25">
      <c r="C356" s="2">
        <v>355</v>
      </c>
      <c r="D356" s="10">
        <v>45269</v>
      </c>
      <c r="E356" s="2" t="s">
        <v>375</v>
      </c>
      <c r="F356" s="2" t="s">
        <v>20</v>
      </c>
      <c r="G356" s="2">
        <v>55</v>
      </c>
      <c r="H356" s="2" t="s">
        <v>23</v>
      </c>
      <c r="I356" s="2">
        <v>1</v>
      </c>
      <c r="J356" s="2">
        <v>500</v>
      </c>
      <c r="K356" s="2">
        <v>500</v>
      </c>
      <c r="M356" s="2">
        <v>500</v>
      </c>
      <c r="N356" t="str" cm="1">
        <f t="array" ref="N356">IF(M356=Table5[[#This Row],[Total Amount]],"Correct",Check)</f>
        <v>Correct</v>
      </c>
    </row>
    <row r="357" spans="3:14" x14ac:dyDescent="0.25">
      <c r="C357" s="2">
        <v>356</v>
      </c>
      <c r="D357" s="10">
        <v>45087</v>
      </c>
      <c r="E357" s="2" t="s">
        <v>376</v>
      </c>
      <c r="F357" s="2" t="s">
        <v>17</v>
      </c>
      <c r="G357" s="2">
        <v>50</v>
      </c>
      <c r="H357" s="2" t="s">
        <v>23</v>
      </c>
      <c r="I357" s="2">
        <v>3</v>
      </c>
      <c r="J357" s="2">
        <v>500</v>
      </c>
      <c r="K357" s="2">
        <v>1500</v>
      </c>
      <c r="M357" s="2">
        <v>1500</v>
      </c>
      <c r="N357" t="str" cm="1">
        <f t="array" ref="N357">IF(M357=Table5[[#This Row],[Total Amount]],"Correct",Check)</f>
        <v>Correct</v>
      </c>
    </row>
    <row r="358" spans="3:14" x14ac:dyDescent="0.25">
      <c r="C358" s="2">
        <v>357</v>
      </c>
      <c r="D358" s="10">
        <v>45049</v>
      </c>
      <c r="E358" s="2" t="s">
        <v>377</v>
      </c>
      <c r="F358" s="2" t="s">
        <v>20</v>
      </c>
      <c r="G358" s="2">
        <v>40</v>
      </c>
      <c r="H358" s="2" t="s">
        <v>23</v>
      </c>
      <c r="I358" s="2">
        <v>3</v>
      </c>
      <c r="J358" s="2">
        <v>25</v>
      </c>
      <c r="K358" s="2">
        <v>75</v>
      </c>
      <c r="M358" s="2">
        <v>75</v>
      </c>
      <c r="N358" t="str" cm="1">
        <f t="array" ref="N358">IF(M358=Table5[[#This Row],[Total Amount]],"Correct",Check)</f>
        <v>Correct</v>
      </c>
    </row>
    <row r="359" spans="3:14" x14ac:dyDescent="0.25">
      <c r="C359" s="2">
        <v>358</v>
      </c>
      <c r="D359" s="10">
        <v>45062</v>
      </c>
      <c r="E359" s="2" t="s">
        <v>378</v>
      </c>
      <c r="F359" s="2" t="s">
        <v>20</v>
      </c>
      <c r="G359" s="2">
        <v>32</v>
      </c>
      <c r="H359" s="2" t="s">
        <v>18</v>
      </c>
      <c r="I359" s="2">
        <v>1</v>
      </c>
      <c r="J359" s="2">
        <v>300</v>
      </c>
      <c r="K359" s="2">
        <v>300</v>
      </c>
      <c r="M359" s="2">
        <v>300</v>
      </c>
      <c r="N359" t="str" cm="1">
        <f t="array" ref="N359">IF(M359=Table5[[#This Row],[Total Amount]],"Correct",Check)</f>
        <v>Correct</v>
      </c>
    </row>
    <row r="360" spans="3:14" x14ac:dyDescent="0.25">
      <c r="C360" s="2">
        <v>359</v>
      </c>
      <c r="D360" s="10">
        <v>45129</v>
      </c>
      <c r="E360" s="2" t="s">
        <v>379</v>
      </c>
      <c r="F360" s="2" t="s">
        <v>17</v>
      </c>
      <c r="G360" s="2">
        <v>50</v>
      </c>
      <c r="H360" s="2" t="s">
        <v>21</v>
      </c>
      <c r="I360" s="2">
        <v>1</v>
      </c>
      <c r="J360" s="2">
        <v>50</v>
      </c>
      <c r="K360" s="2">
        <v>50</v>
      </c>
      <c r="M360" s="2">
        <v>50</v>
      </c>
      <c r="N360" t="str" cm="1">
        <f t="array" ref="N360">IF(M360=Table5[[#This Row],[Total Amount]],"Correct",Check)</f>
        <v>Correct</v>
      </c>
    </row>
    <row r="361" spans="3:14" x14ac:dyDescent="0.25">
      <c r="C361" s="2">
        <v>360</v>
      </c>
      <c r="D361" s="10">
        <v>44994</v>
      </c>
      <c r="E361" s="2" t="s">
        <v>380</v>
      </c>
      <c r="F361" s="2" t="s">
        <v>17</v>
      </c>
      <c r="G361" s="2">
        <v>42</v>
      </c>
      <c r="H361" s="2" t="s">
        <v>21</v>
      </c>
      <c r="I361" s="2">
        <v>4</v>
      </c>
      <c r="J361" s="2">
        <v>25</v>
      </c>
      <c r="K361" s="2">
        <v>100</v>
      </c>
      <c r="M361" s="2">
        <v>100</v>
      </c>
      <c r="N361" t="str" cm="1">
        <f t="array" ref="N361">IF(M361=Table5[[#This Row],[Total Amount]],"Correct",Check)</f>
        <v>Correct</v>
      </c>
    </row>
    <row r="362" spans="3:14" x14ac:dyDescent="0.25">
      <c r="C362" s="2">
        <v>361</v>
      </c>
      <c r="D362" s="10">
        <v>45270</v>
      </c>
      <c r="E362" s="2" t="s">
        <v>381</v>
      </c>
      <c r="F362" s="2" t="s">
        <v>20</v>
      </c>
      <c r="G362" s="2">
        <v>34</v>
      </c>
      <c r="H362" s="2" t="s">
        <v>23</v>
      </c>
      <c r="I362" s="2">
        <v>4</v>
      </c>
      <c r="J362" s="2">
        <v>300</v>
      </c>
      <c r="K362" s="2">
        <v>1200</v>
      </c>
      <c r="M362" s="2">
        <v>1200</v>
      </c>
      <c r="N362" t="str" cm="1">
        <f t="array" ref="N362">IF(M362=Table5[[#This Row],[Total Amount]],"Correct",Check)</f>
        <v>Correct</v>
      </c>
    </row>
    <row r="363" spans="3:14" x14ac:dyDescent="0.25">
      <c r="C363" s="2">
        <v>362</v>
      </c>
      <c r="D363" s="10">
        <v>45257</v>
      </c>
      <c r="E363" s="2" t="s">
        <v>382</v>
      </c>
      <c r="F363" s="2" t="s">
        <v>17</v>
      </c>
      <c r="G363" s="2">
        <v>50</v>
      </c>
      <c r="H363" s="2" t="s">
        <v>21</v>
      </c>
      <c r="I363" s="2">
        <v>1</v>
      </c>
      <c r="J363" s="2">
        <v>25</v>
      </c>
      <c r="K363" s="2">
        <v>25</v>
      </c>
      <c r="M363" s="2">
        <v>25</v>
      </c>
      <c r="N363" t="str" cm="1">
        <f t="array" ref="N363">IF(M363=Table5[[#This Row],[Total Amount]],"Correct",Check)</f>
        <v>Correct</v>
      </c>
    </row>
    <row r="364" spans="3:14" x14ac:dyDescent="0.25">
      <c r="C364" s="2">
        <v>363</v>
      </c>
      <c r="D364" s="10">
        <v>45080</v>
      </c>
      <c r="E364" s="2" t="s">
        <v>383</v>
      </c>
      <c r="F364" s="2" t="s">
        <v>17</v>
      </c>
      <c r="G364" s="2">
        <v>64</v>
      </c>
      <c r="H364" s="2" t="s">
        <v>18</v>
      </c>
      <c r="I364" s="2">
        <v>1</v>
      </c>
      <c r="J364" s="2">
        <v>25</v>
      </c>
      <c r="K364" s="2">
        <v>25</v>
      </c>
      <c r="M364" s="2">
        <v>25</v>
      </c>
      <c r="N364" t="str" cm="1">
        <f t="array" ref="N364">IF(M364=Table5[[#This Row],[Total Amount]],"Correct",Check)</f>
        <v>Correct</v>
      </c>
    </row>
    <row r="365" spans="3:14" x14ac:dyDescent="0.25">
      <c r="C365" s="2">
        <v>364</v>
      </c>
      <c r="D365" s="10">
        <v>45161</v>
      </c>
      <c r="E365" s="2" t="s">
        <v>384</v>
      </c>
      <c r="F365" s="2" t="s">
        <v>20</v>
      </c>
      <c r="G365" s="2">
        <v>19</v>
      </c>
      <c r="H365" s="2" t="s">
        <v>18</v>
      </c>
      <c r="I365" s="2">
        <v>1</v>
      </c>
      <c r="J365" s="2">
        <v>500</v>
      </c>
      <c r="K365" s="2">
        <v>500</v>
      </c>
      <c r="M365" s="2">
        <v>500</v>
      </c>
      <c r="N365" t="str" cm="1">
        <f t="array" ref="N365">IF(M365=Table5[[#This Row],[Total Amount]],"Correct",Check)</f>
        <v>Correct</v>
      </c>
    </row>
    <row r="366" spans="3:14" x14ac:dyDescent="0.25">
      <c r="C366" s="2">
        <v>365</v>
      </c>
      <c r="D366" s="10">
        <v>45088</v>
      </c>
      <c r="E366" s="2" t="s">
        <v>385</v>
      </c>
      <c r="F366" s="2" t="s">
        <v>17</v>
      </c>
      <c r="G366" s="2">
        <v>31</v>
      </c>
      <c r="H366" s="2" t="s">
        <v>21</v>
      </c>
      <c r="I366" s="2">
        <v>1</v>
      </c>
      <c r="J366" s="2">
        <v>300</v>
      </c>
      <c r="K366" s="2">
        <v>300</v>
      </c>
      <c r="M366" s="2">
        <v>300</v>
      </c>
      <c r="N366" t="str" cm="1">
        <f t="array" ref="N366">IF(M366=Table5[[#This Row],[Total Amount]],"Correct",Check)</f>
        <v>Correct</v>
      </c>
    </row>
    <row r="367" spans="3:14" x14ac:dyDescent="0.25">
      <c r="C367" s="2">
        <v>366</v>
      </c>
      <c r="D367" s="10">
        <v>44964</v>
      </c>
      <c r="E367" s="2" t="s">
        <v>386</v>
      </c>
      <c r="F367" s="2" t="s">
        <v>17</v>
      </c>
      <c r="G367" s="2">
        <v>57</v>
      </c>
      <c r="H367" s="2" t="s">
        <v>21</v>
      </c>
      <c r="I367" s="2">
        <v>2</v>
      </c>
      <c r="J367" s="2">
        <v>50</v>
      </c>
      <c r="K367" s="2">
        <v>100</v>
      </c>
      <c r="M367" s="2">
        <v>100</v>
      </c>
      <c r="N367" t="str" cm="1">
        <f t="array" ref="N367">IF(M367=Table5[[#This Row],[Total Amount]],"Correct",Check)</f>
        <v>Correct</v>
      </c>
    </row>
    <row r="368" spans="3:14" x14ac:dyDescent="0.25">
      <c r="C368" s="2">
        <v>367</v>
      </c>
      <c r="D368" s="10">
        <v>44931</v>
      </c>
      <c r="E368" s="2" t="s">
        <v>387</v>
      </c>
      <c r="F368" s="2" t="s">
        <v>20</v>
      </c>
      <c r="G368" s="2">
        <v>57</v>
      </c>
      <c r="H368" s="2" t="s">
        <v>23</v>
      </c>
      <c r="I368" s="2">
        <v>1</v>
      </c>
      <c r="J368" s="2">
        <v>50</v>
      </c>
      <c r="K368" s="2">
        <v>50</v>
      </c>
      <c r="M368" s="2">
        <v>50</v>
      </c>
      <c r="N368" t="str" cm="1">
        <f t="array" ref="N368">IF(M368=Table5[[#This Row],[Total Amount]],"Correct",Check)</f>
        <v>Correct</v>
      </c>
    </row>
    <row r="369" spans="3:14" x14ac:dyDescent="0.25">
      <c r="C369" s="2">
        <v>368</v>
      </c>
      <c r="D369" s="10">
        <v>45161</v>
      </c>
      <c r="E369" s="2" t="s">
        <v>388</v>
      </c>
      <c r="F369" s="2" t="s">
        <v>20</v>
      </c>
      <c r="G369" s="2">
        <v>56</v>
      </c>
      <c r="H369" s="2" t="s">
        <v>21</v>
      </c>
      <c r="I369" s="2">
        <v>4</v>
      </c>
      <c r="J369" s="2">
        <v>300</v>
      </c>
      <c r="K369" s="2">
        <v>1200</v>
      </c>
      <c r="M369" s="2">
        <v>1200</v>
      </c>
      <c r="N369" t="str" cm="1">
        <f t="array" ref="N369">IF(M369=Table5[[#This Row],[Total Amount]],"Correct",Check)</f>
        <v>Correct</v>
      </c>
    </row>
    <row r="370" spans="3:14" x14ac:dyDescent="0.25">
      <c r="C370" s="2">
        <v>369</v>
      </c>
      <c r="D370" s="10">
        <v>45245</v>
      </c>
      <c r="E370" s="2" t="s">
        <v>389</v>
      </c>
      <c r="F370" s="2" t="s">
        <v>17</v>
      </c>
      <c r="G370" s="2">
        <v>23</v>
      </c>
      <c r="H370" s="2" t="s">
        <v>23</v>
      </c>
      <c r="I370" s="2">
        <v>3</v>
      </c>
      <c r="J370" s="2">
        <v>500</v>
      </c>
      <c r="K370" s="2">
        <v>1500</v>
      </c>
      <c r="M370" s="2">
        <v>1500</v>
      </c>
      <c r="N370" t="str" cm="1">
        <f t="array" ref="N370">IF(M370=Table5[[#This Row],[Total Amount]],"Correct",Check)</f>
        <v>Correct</v>
      </c>
    </row>
    <row r="371" spans="3:14" x14ac:dyDescent="0.25">
      <c r="C371" s="2">
        <v>370</v>
      </c>
      <c r="D371" s="10">
        <v>45215</v>
      </c>
      <c r="E371" s="2" t="s">
        <v>390</v>
      </c>
      <c r="F371" s="2" t="s">
        <v>17</v>
      </c>
      <c r="G371" s="2">
        <v>23</v>
      </c>
      <c r="H371" s="2" t="s">
        <v>23</v>
      </c>
      <c r="I371" s="2">
        <v>2</v>
      </c>
      <c r="J371" s="2">
        <v>30</v>
      </c>
      <c r="K371" s="2">
        <v>60</v>
      </c>
      <c r="M371" s="2">
        <v>60</v>
      </c>
      <c r="N371" t="str" cm="1">
        <f t="array" ref="N371">IF(M371=Table5[[#This Row],[Total Amount]],"Correct",Check)</f>
        <v>Correct</v>
      </c>
    </row>
    <row r="372" spans="3:14" x14ac:dyDescent="0.25">
      <c r="C372" s="2">
        <v>371</v>
      </c>
      <c r="D372" s="10">
        <v>44978</v>
      </c>
      <c r="E372" s="2" t="s">
        <v>391</v>
      </c>
      <c r="F372" s="2" t="s">
        <v>20</v>
      </c>
      <c r="G372" s="2">
        <v>20</v>
      </c>
      <c r="H372" s="2" t="s">
        <v>18</v>
      </c>
      <c r="I372" s="2">
        <v>1</v>
      </c>
      <c r="J372" s="2">
        <v>25</v>
      </c>
      <c r="K372" s="2">
        <v>25</v>
      </c>
      <c r="M372" s="2">
        <v>25</v>
      </c>
      <c r="N372" t="str" cm="1">
        <f t="array" ref="N372">IF(M372=Table5[[#This Row],[Total Amount]],"Correct",Check)</f>
        <v>Correct</v>
      </c>
    </row>
    <row r="373" spans="3:14" x14ac:dyDescent="0.25">
      <c r="C373" s="2">
        <v>372</v>
      </c>
      <c r="D373" s="10">
        <v>44964</v>
      </c>
      <c r="E373" s="2" t="s">
        <v>392</v>
      </c>
      <c r="F373" s="2" t="s">
        <v>20</v>
      </c>
      <c r="G373" s="2">
        <v>24</v>
      </c>
      <c r="H373" s="2" t="s">
        <v>18</v>
      </c>
      <c r="I373" s="2">
        <v>3</v>
      </c>
      <c r="J373" s="2">
        <v>500</v>
      </c>
      <c r="K373" s="2">
        <v>1500</v>
      </c>
      <c r="M373" s="2">
        <v>1500</v>
      </c>
      <c r="N373" t="str" cm="1">
        <f t="array" ref="N373">IF(M373=Table5[[#This Row],[Total Amount]],"Correct",Check)</f>
        <v>Correct</v>
      </c>
    </row>
    <row r="374" spans="3:14" x14ac:dyDescent="0.25">
      <c r="C374" s="2">
        <v>373</v>
      </c>
      <c r="D374" s="10">
        <v>45202</v>
      </c>
      <c r="E374" s="2" t="s">
        <v>393</v>
      </c>
      <c r="F374" s="2" t="s">
        <v>20</v>
      </c>
      <c r="G374" s="2">
        <v>25</v>
      </c>
      <c r="H374" s="2" t="s">
        <v>18</v>
      </c>
      <c r="I374" s="2">
        <v>2</v>
      </c>
      <c r="J374" s="2">
        <v>300</v>
      </c>
      <c r="K374" s="2">
        <v>600</v>
      </c>
      <c r="M374" s="2">
        <v>600</v>
      </c>
      <c r="N374" t="str" cm="1">
        <f t="array" ref="N374">IF(M374=Table5[[#This Row],[Total Amount]],"Correct",Check)</f>
        <v>Correct</v>
      </c>
    </row>
    <row r="375" spans="3:14" x14ac:dyDescent="0.25">
      <c r="C375" s="2">
        <v>374</v>
      </c>
      <c r="D375" s="10">
        <v>45036</v>
      </c>
      <c r="E375" s="2" t="s">
        <v>394</v>
      </c>
      <c r="F375" s="2" t="s">
        <v>20</v>
      </c>
      <c r="G375" s="2">
        <v>59</v>
      </c>
      <c r="H375" s="2" t="s">
        <v>18</v>
      </c>
      <c r="I375" s="2">
        <v>3</v>
      </c>
      <c r="J375" s="2">
        <v>25</v>
      </c>
      <c r="K375" s="2">
        <v>75</v>
      </c>
      <c r="M375" s="2">
        <v>75</v>
      </c>
      <c r="N375" t="str" cm="1">
        <f t="array" ref="N375">IF(M375=Table5[[#This Row],[Total Amount]],"Correct",Check)</f>
        <v>Correct</v>
      </c>
    </row>
    <row r="376" spans="3:14" x14ac:dyDescent="0.25">
      <c r="C376" s="2">
        <v>375</v>
      </c>
      <c r="D376" s="10">
        <v>45186</v>
      </c>
      <c r="E376" s="2" t="s">
        <v>395</v>
      </c>
      <c r="F376" s="2" t="s">
        <v>17</v>
      </c>
      <c r="G376" s="2">
        <v>32</v>
      </c>
      <c r="H376" s="2" t="s">
        <v>21</v>
      </c>
      <c r="I376" s="2">
        <v>1</v>
      </c>
      <c r="J376" s="2">
        <v>50</v>
      </c>
      <c r="K376" s="2">
        <v>50</v>
      </c>
      <c r="M376" s="2">
        <v>50</v>
      </c>
      <c r="N376" t="str" cm="1">
        <f t="array" ref="N376">IF(M376=Table5[[#This Row],[Total Amount]],"Correct",Check)</f>
        <v>Correct</v>
      </c>
    </row>
    <row r="377" spans="3:14" x14ac:dyDescent="0.25">
      <c r="C377" s="2">
        <v>376</v>
      </c>
      <c r="D377" s="10">
        <v>45062</v>
      </c>
      <c r="E377" s="2" t="s">
        <v>396</v>
      </c>
      <c r="F377" s="2" t="s">
        <v>20</v>
      </c>
      <c r="G377" s="2">
        <v>64</v>
      </c>
      <c r="H377" s="2" t="s">
        <v>18</v>
      </c>
      <c r="I377" s="2">
        <v>1</v>
      </c>
      <c r="J377" s="2">
        <v>30</v>
      </c>
      <c r="K377" s="2">
        <v>30</v>
      </c>
      <c r="M377" s="2">
        <v>30</v>
      </c>
      <c r="N377" t="str" cm="1">
        <f t="array" ref="N377">IF(M377=Table5[[#This Row],[Total Amount]],"Correct",Check)</f>
        <v>Correct</v>
      </c>
    </row>
    <row r="378" spans="3:14" x14ac:dyDescent="0.25">
      <c r="C378" s="2">
        <v>377</v>
      </c>
      <c r="D378" s="10">
        <v>44994</v>
      </c>
      <c r="E378" s="2" t="s">
        <v>397</v>
      </c>
      <c r="F378" s="2" t="s">
        <v>20</v>
      </c>
      <c r="G378" s="2">
        <v>46</v>
      </c>
      <c r="H378" s="2" t="s">
        <v>21</v>
      </c>
      <c r="I378" s="2">
        <v>4</v>
      </c>
      <c r="J378" s="2">
        <v>50</v>
      </c>
      <c r="K378" s="2">
        <v>200</v>
      </c>
      <c r="M378" s="2">
        <v>200</v>
      </c>
      <c r="N378" t="str" cm="1">
        <f t="array" ref="N378">IF(M378=Table5[[#This Row],[Total Amount]],"Correct",Check)</f>
        <v>Correct</v>
      </c>
    </row>
    <row r="379" spans="3:14" x14ac:dyDescent="0.25">
      <c r="C379" s="2">
        <v>378</v>
      </c>
      <c r="D379" s="10">
        <v>45105</v>
      </c>
      <c r="E379" s="2" t="s">
        <v>398</v>
      </c>
      <c r="F379" s="2" t="s">
        <v>17</v>
      </c>
      <c r="G379" s="2">
        <v>50</v>
      </c>
      <c r="H379" s="2" t="s">
        <v>18</v>
      </c>
      <c r="I379" s="2">
        <v>1</v>
      </c>
      <c r="J379" s="2">
        <v>300</v>
      </c>
      <c r="K379" s="2">
        <v>300</v>
      </c>
      <c r="M379" s="2">
        <v>300</v>
      </c>
      <c r="N379" t="str" cm="1">
        <f t="array" ref="N379">IF(M379=Table5[[#This Row],[Total Amount]],"Correct",Check)</f>
        <v>Correct</v>
      </c>
    </row>
    <row r="380" spans="3:14" x14ac:dyDescent="0.25">
      <c r="C380" s="2">
        <v>379</v>
      </c>
      <c r="D380" s="10">
        <v>44962</v>
      </c>
      <c r="E380" s="2" t="s">
        <v>399</v>
      </c>
      <c r="F380" s="2" t="s">
        <v>20</v>
      </c>
      <c r="G380" s="2">
        <v>47</v>
      </c>
      <c r="H380" s="2" t="s">
        <v>21</v>
      </c>
      <c r="I380" s="2">
        <v>1</v>
      </c>
      <c r="J380" s="2">
        <v>25</v>
      </c>
      <c r="K380" s="2">
        <v>25</v>
      </c>
      <c r="M380" s="2">
        <v>25</v>
      </c>
      <c r="N380" t="str" cm="1">
        <f t="array" ref="N380">IF(M380=Table5[[#This Row],[Total Amount]],"Correct",Check)</f>
        <v>Correct</v>
      </c>
    </row>
    <row r="381" spans="3:14" x14ac:dyDescent="0.25">
      <c r="C381" s="2">
        <v>380</v>
      </c>
      <c r="D381" s="10">
        <v>45052</v>
      </c>
      <c r="E381" s="2" t="s">
        <v>400</v>
      </c>
      <c r="F381" s="2" t="s">
        <v>17</v>
      </c>
      <c r="G381" s="2">
        <v>56</v>
      </c>
      <c r="H381" s="2" t="s">
        <v>23</v>
      </c>
      <c r="I381" s="2">
        <v>2</v>
      </c>
      <c r="J381" s="2">
        <v>300</v>
      </c>
      <c r="K381" s="2">
        <v>600</v>
      </c>
      <c r="M381" s="2">
        <v>600</v>
      </c>
      <c r="N381" t="str" cm="1">
        <f t="array" ref="N381">IF(M381=Table5[[#This Row],[Total Amount]],"Correct",Check)</f>
        <v>Correct</v>
      </c>
    </row>
    <row r="382" spans="3:14" x14ac:dyDescent="0.25">
      <c r="C382" s="2">
        <v>381</v>
      </c>
      <c r="D382" s="10">
        <v>45116</v>
      </c>
      <c r="E382" s="2" t="s">
        <v>401</v>
      </c>
      <c r="F382" s="2" t="s">
        <v>20</v>
      </c>
      <c r="G382" s="2">
        <v>44</v>
      </c>
      <c r="H382" s="2" t="s">
        <v>21</v>
      </c>
      <c r="I382" s="2">
        <v>4</v>
      </c>
      <c r="J382" s="2">
        <v>25</v>
      </c>
      <c r="K382" s="2">
        <v>100</v>
      </c>
      <c r="M382" s="2">
        <v>100</v>
      </c>
      <c r="N382" t="str" cm="1">
        <f t="array" ref="N382">IF(M382=Table5[[#This Row],[Total Amount]],"Correct",Check)</f>
        <v>Correct</v>
      </c>
    </row>
    <row r="383" spans="3:14" x14ac:dyDescent="0.25">
      <c r="C383" s="2">
        <v>382</v>
      </c>
      <c r="D383" s="10">
        <v>45072</v>
      </c>
      <c r="E383" s="2" t="s">
        <v>402</v>
      </c>
      <c r="F383" s="2" t="s">
        <v>20</v>
      </c>
      <c r="G383" s="2">
        <v>53</v>
      </c>
      <c r="H383" s="2" t="s">
        <v>21</v>
      </c>
      <c r="I383" s="2">
        <v>2</v>
      </c>
      <c r="J383" s="2">
        <v>500</v>
      </c>
      <c r="K383" s="2">
        <v>1000</v>
      </c>
      <c r="M383" s="2">
        <v>1000</v>
      </c>
      <c r="N383" t="str" cm="1">
        <f t="array" ref="N383">IF(M383=Table5[[#This Row],[Total Amount]],"Correct",Check)</f>
        <v>Correct</v>
      </c>
    </row>
    <row r="384" spans="3:14" x14ac:dyDescent="0.25">
      <c r="C384" s="2">
        <v>383</v>
      </c>
      <c r="D384" s="10">
        <v>45007</v>
      </c>
      <c r="E384" s="2" t="s">
        <v>403</v>
      </c>
      <c r="F384" s="2" t="s">
        <v>20</v>
      </c>
      <c r="G384" s="2">
        <v>46</v>
      </c>
      <c r="H384" s="2" t="s">
        <v>18</v>
      </c>
      <c r="I384" s="2">
        <v>3</v>
      </c>
      <c r="J384" s="2">
        <v>30</v>
      </c>
      <c r="K384" s="2">
        <v>90</v>
      </c>
      <c r="M384" s="2">
        <v>90</v>
      </c>
      <c r="N384" t="str" cm="1">
        <f t="array" ref="N384">IF(M384=Table5[[#This Row],[Total Amount]],"Correct",Check)</f>
        <v>Correct</v>
      </c>
    </row>
    <row r="385" spans="3:14" x14ac:dyDescent="0.25">
      <c r="C385" s="2">
        <v>384</v>
      </c>
      <c r="D385" s="10">
        <v>45151</v>
      </c>
      <c r="E385" s="2" t="s">
        <v>404</v>
      </c>
      <c r="F385" s="2" t="s">
        <v>17</v>
      </c>
      <c r="G385" s="2">
        <v>55</v>
      </c>
      <c r="H385" s="2" t="s">
        <v>21</v>
      </c>
      <c r="I385" s="2">
        <v>1</v>
      </c>
      <c r="J385" s="2">
        <v>500</v>
      </c>
      <c r="K385" s="2">
        <v>500</v>
      </c>
      <c r="M385" s="2">
        <v>500</v>
      </c>
      <c r="N385" t="str" cm="1">
        <f t="array" ref="N385">IF(M385=Table5[[#This Row],[Total Amount]],"Correct",Check)</f>
        <v>Correct</v>
      </c>
    </row>
    <row r="386" spans="3:14" x14ac:dyDescent="0.25">
      <c r="C386" s="2">
        <v>385</v>
      </c>
      <c r="D386" s="10">
        <v>45205</v>
      </c>
      <c r="E386" s="2" t="s">
        <v>405</v>
      </c>
      <c r="F386" s="2" t="s">
        <v>17</v>
      </c>
      <c r="G386" s="2">
        <v>50</v>
      </c>
      <c r="H386" s="2" t="s">
        <v>23</v>
      </c>
      <c r="I386" s="2">
        <v>3</v>
      </c>
      <c r="J386" s="2">
        <v>500</v>
      </c>
      <c r="K386" s="2">
        <v>1500</v>
      </c>
      <c r="M386" s="2">
        <v>1500</v>
      </c>
      <c r="N386" t="str" cm="1">
        <f t="array" ref="N386">IF(M386=Table5[[#This Row],[Total Amount]],"Correct",Check)</f>
        <v>Correct</v>
      </c>
    </row>
    <row r="387" spans="3:14" x14ac:dyDescent="0.25">
      <c r="C387" s="2">
        <v>386</v>
      </c>
      <c r="D387" s="10">
        <v>45287</v>
      </c>
      <c r="E387" s="2" t="s">
        <v>406</v>
      </c>
      <c r="F387" s="2" t="s">
        <v>20</v>
      </c>
      <c r="G387" s="2">
        <v>54</v>
      </c>
      <c r="H387" s="2" t="s">
        <v>23</v>
      </c>
      <c r="I387" s="2">
        <v>2</v>
      </c>
      <c r="J387" s="2">
        <v>300</v>
      </c>
      <c r="K387" s="2">
        <v>600</v>
      </c>
      <c r="M387" s="2">
        <v>600</v>
      </c>
      <c r="N387" t="str" cm="1">
        <f t="array" ref="N387">IF(M387=Table5[[#This Row],[Total Amount]],"Correct",Check)</f>
        <v>Correct</v>
      </c>
    </row>
    <row r="388" spans="3:14" x14ac:dyDescent="0.25">
      <c r="C388" s="2">
        <v>387</v>
      </c>
      <c r="D388" s="10">
        <v>45081</v>
      </c>
      <c r="E388" s="2" t="s">
        <v>407</v>
      </c>
      <c r="F388" s="2" t="s">
        <v>17</v>
      </c>
      <c r="G388" s="2">
        <v>44</v>
      </c>
      <c r="H388" s="2" t="s">
        <v>18</v>
      </c>
      <c r="I388" s="2">
        <v>1</v>
      </c>
      <c r="J388" s="2">
        <v>30</v>
      </c>
      <c r="K388" s="2">
        <v>30</v>
      </c>
      <c r="M388" s="2">
        <v>30</v>
      </c>
      <c r="N388" t="str" cm="1">
        <f t="array" ref="N388">IF(M388=Table5[[#This Row],[Total Amount]],"Correct",Check)</f>
        <v>Correct</v>
      </c>
    </row>
    <row r="389" spans="3:14" x14ac:dyDescent="0.25">
      <c r="C389" s="2">
        <v>388</v>
      </c>
      <c r="D389" s="10">
        <v>45240</v>
      </c>
      <c r="E389" s="2" t="s">
        <v>408</v>
      </c>
      <c r="F389" s="2" t="s">
        <v>17</v>
      </c>
      <c r="G389" s="2">
        <v>50</v>
      </c>
      <c r="H389" s="2" t="s">
        <v>23</v>
      </c>
      <c r="I389" s="2">
        <v>1</v>
      </c>
      <c r="J389" s="2">
        <v>25</v>
      </c>
      <c r="K389" s="2">
        <v>25</v>
      </c>
      <c r="M389" s="2">
        <v>25</v>
      </c>
      <c r="N389" t="str" cm="1">
        <f t="array" ref="N389">IF(M389=Table5[[#This Row],[Total Amount]],"Correct",Check)</f>
        <v>Correct</v>
      </c>
    </row>
    <row r="390" spans="3:14" x14ac:dyDescent="0.25">
      <c r="C390" s="2">
        <v>389</v>
      </c>
      <c r="D390" s="10">
        <v>45261</v>
      </c>
      <c r="E390" s="2" t="s">
        <v>409</v>
      </c>
      <c r="F390" s="2" t="s">
        <v>17</v>
      </c>
      <c r="G390" s="2">
        <v>21</v>
      </c>
      <c r="H390" s="2" t="s">
        <v>21</v>
      </c>
      <c r="I390" s="2">
        <v>2</v>
      </c>
      <c r="J390" s="2">
        <v>25</v>
      </c>
      <c r="K390" s="2">
        <v>50</v>
      </c>
      <c r="M390" s="2">
        <v>50</v>
      </c>
      <c r="N390" t="str" cm="1">
        <f t="array" ref="N390">IF(M390=Table5[[#This Row],[Total Amount]],"Correct",Check)</f>
        <v>Correct</v>
      </c>
    </row>
    <row r="391" spans="3:14" x14ac:dyDescent="0.25">
      <c r="C391" s="2">
        <v>390</v>
      </c>
      <c r="D391" s="10">
        <v>45197</v>
      </c>
      <c r="E391" s="2" t="s">
        <v>410</v>
      </c>
      <c r="F391" s="2" t="s">
        <v>17</v>
      </c>
      <c r="G391" s="2">
        <v>39</v>
      </c>
      <c r="H391" s="2" t="s">
        <v>23</v>
      </c>
      <c r="I391" s="2">
        <v>2</v>
      </c>
      <c r="J391" s="2">
        <v>50</v>
      </c>
      <c r="K391" s="2">
        <v>100</v>
      </c>
      <c r="M391" s="2">
        <v>100</v>
      </c>
      <c r="N391" t="str" cm="1">
        <f t="array" ref="N391">IF(M391=Table5[[#This Row],[Total Amount]],"Correct",Check)</f>
        <v>Correct</v>
      </c>
    </row>
    <row r="392" spans="3:14" x14ac:dyDescent="0.25">
      <c r="C392" s="2">
        <v>391</v>
      </c>
      <c r="D392" s="10">
        <v>44931</v>
      </c>
      <c r="E392" s="2" t="s">
        <v>411</v>
      </c>
      <c r="F392" s="2" t="s">
        <v>17</v>
      </c>
      <c r="G392" s="2">
        <v>19</v>
      </c>
      <c r="H392" s="2" t="s">
        <v>18</v>
      </c>
      <c r="I392" s="2">
        <v>2</v>
      </c>
      <c r="J392" s="2">
        <v>25</v>
      </c>
      <c r="K392" s="2">
        <v>50</v>
      </c>
      <c r="M392" s="2">
        <v>50</v>
      </c>
      <c r="N392" t="str" cm="1">
        <f t="array" ref="N392">IF(M392=Table5[[#This Row],[Total Amount]],"Correct",Check)</f>
        <v>Correct</v>
      </c>
    </row>
    <row r="393" spans="3:14" x14ac:dyDescent="0.25">
      <c r="C393" s="2">
        <v>392</v>
      </c>
      <c r="D393" s="10">
        <v>45268</v>
      </c>
      <c r="E393" s="2" t="s">
        <v>412</v>
      </c>
      <c r="F393" s="2" t="s">
        <v>17</v>
      </c>
      <c r="G393" s="2">
        <v>27</v>
      </c>
      <c r="H393" s="2" t="s">
        <v>21</v>
      </c>
      <c r="I393" s="2">
        <v>2</v>
      </c>
      <c r="J393" s="2">
        <v>300</v>
      </c>
      <c r="K393" s="2">
        <v>600</v>
      </c>
      <c r="M393" s="2">
        <v>600</v>
      </c>
      <c r="N393" t="str" cm="1">
        <f t="array" ref="N393">IF(M393=Table5[[#This Row],[Total Amount]],"Correct",Check)</f>
        <v>Correct</v>
      </c>
    </row>
    <row r="394" spans="3:14" x14ac:dyDescent="0.25">
      <c r="C394" s="2">
        <v>393</v>
      </c>
      <c r="D394" s="10">
        <v>45210</v>
      </c>
      <c r="E394" s="2" t="s">
        <v>413</v>
      </c>
      <c r="F394" s="2" t="s">
        <v>20</v>
      </c>
      <c r="G394" s="2">
        <v>22</v>
      </c>
      <c r="H394" s="2" t="s">
        <v>18</v>
      </c>
      <c r="I394" s="2">
        <v>2</v>
      </c>
      <c r="J394" s="2">
        <v>500</v>
      </c>
      <c r="K394" s="2">
        <v>1000</v>
      </c>
      <c r="M394" s="2">
        <v>1000</v>
      </c>
      <c r="N394" t="str" cm="1">
        <f t="array" ref="N394">IF(M394=Table5[[#This Row],[Total Amount]],"Correct",Check)</f>
        <v>Correct</v>
      </c>
    </row>
    <row r="395" spans="3:14" x14ac:dyDescent="0.25">
      <c r="C395" s="2">
        <v>394</v>
      </c>
      <c r="D395" s="10">
        <v>45080</v>
      </c>
      <c r="E395" s="2" t="s">
        <v>414</v>
      </c>
      <c r="F395" s="2" t="s">
        <v>20</v>
      </c>
      <c r="G395" s="2">
        <v>27</v>
      </c>
      <c r="H395" s="2" t="s">
        <v>21</v>
      </c>
      <c r="I395" s="2">
        <v>1</v>
      </c>
      <c r="J395" s="2">
        <v>500</v>
      </c>
      <c r="K395" s="2">
        <v>500</v>
      </c>
      <c r="M395" s="2">
        <v>500</v>
      </c>
      <c r="N395" t="str" cm="1">
        <f t="array" ref="N395">IF(M395=Table5[[#This Row],[Total Amount]],"Correct",Check)</f>
        <v>Correct</v>
      </c>
    </row>
    <row r="396" spans="3:14" x14ac:dyDescent="0.25">
      <c r="C396" s="2">
        <v>395</v>
      </c>
      <c r="D396" s="10">
        <v>45266</v>
      </c>
      <c r="E396" s="2" t="s">
        <v>415</v>
      </c>
      <c r="F396" s="2" t="s">
        <v>17</v>
      </c>
      <c r="G396" s="2">
        <v>50</v>
      </c>
      <c r="H396" s="2" t="s">
        <v>23</v>
      </c>
      <c r="I396" s="2">
        <v>2</v>
      </c>
      <c r="J396" s="2">
        <v>500</v>
      </c>
      <c r="K396" s="2">
        <v>1000</v>
      </c>
      <c r="M396" s="2">
        <v>1000</v>
      </c>
      <c r="N396" t="str" cm="1">
        <f t="array" ref="N396">IF(M396=Table5[[#This Row],[Total Amount]],"Correct",Check)</f>
        <v>Correct</v>
      </c>
    </row>
    <row r="397" spans="3:14" x14ac:dyDescent="0.25">
      <c r="C397" s="2">
        <v>396</v>
      </c>
      <c r="D397" s="10">
        <v>44980</v>
      </c>
      <c r="E397" s="2" t="s">
        <v>416</v>
      </c>
      <c r="F397" s="2" t="s">
        <v>20</v>
      </c>
      <c r="G397" s="2">
        <v>55</v>
      </c>
      <c r="H397" s="2" t="s">
        <v>18</v>
      </c>
      <c r="I397" s="2">
        <v>1</v>
      </c>
      <c r="J397" s="2">
        <v>30</v>
      </c>
      <c r="K397" s="2">
        <v>30</v>
      </c>
      <c r="M397" s="2">
        <v>30</v>
      </c>
      <c r="N397" t="str" cm="1">
        <f t="array" ref="N397">IF(M397=Table5[[#This Row],[Total Amount]],"Correct",Check)</f>
        <v>Correct</v>
      </c>
    </row>
    <row r="398" spans="3:14" x14ac:dyDescent="0.25">
      <c r="C398" s="2">
        <v>397</v>
      </c>
      <c r="D398" s="10">
        <v>44995</v>
      </c>
      <c r="E398" s="2" t="s">
        <v>417</v>
      </c>
      <c r="F398" s="2" t="s">
        <v>20</v>
      </c>
      <c r="G398" s="2">
        <v>30</v>
      </c>
      <c r="H398" s="2" t="s">
        <v>18</v>
      </c>
      <c r="I398" s="2">
        <v>1</v>
      </c>
      <c r="J398" s="2">
        <v>25</v>
      </c>
      <c r="K398" s="2">
        <v>25</v>
      </c>
      <c r="M398" s="2">
        <v>25</v>
      </c>
      <c r="N398" t="str" cm="1">
        <f t="array" ref="N398">IF(M398=Table5[[#This Row],[Total Amount]],"Correct",Check)</f>
        <v>Correct</v>
      </c>
    </row>
    <row r="399" spans="3:14" x14ac:dyDescent="0.25">
      <c r="C399" s="2">
        <v>398</v>
      </c>
      <c r="D399" s="10">
        <v>45062</v>
      </c>
      <c r="E399" s="2" t="s">
        <v>418</v>
      </c>
      <c r="F399" s="2" t="s">
        <v>20</v>
      </c>
      <c r="G399" s="2">
        <v>48</v>
      </c>
      <c r="H399" s="2" t="s">
        <v>21</v>
      </c>
      <c r="I399" s="2">
        <v>2</v>
      </c>
      <c r="J399" s="2">
        <v>300</v>
      </c>
      <c r="K399" s="2">
        <v>600</v>
      </c>
      <c r="M399" s="2">
        <v>600</v>
      </c>
      <c r="N399" t="str" cm="1">
        <f t="array" ref="N399">IF(M399=Table5[[#This Row],[Total Amount]],"Correct",Check)</f>
        <v>Correct</v>
      </c>
    </row>
    <row r="400" spans="3:14" x14ac:dyDescent="0.25">
      <c r="C400" s="2">
        <v>399</v>
      </c>
      <c r="D400" s="10">
        <v>44986</v>
      </c>
      <c r="E400" s="2" t="s">
        <v>419</v>
      </c>
      <c r="F400" s="2" t="s">
        <v>20</v>
      </c>
      <c r="G400" s="2">
        <v>64</v>
      </c>
      <c r="H400" s="2" t="s">
        <v>18</v>
      </c>
      <c r="I400" s="2">
        <v>2</v>
      </c>
      <c r="J400" s="2">
        <v>30</v>
      </c>
      <c r="K400" s="2">
        <v>60</v>
      </c>
      <c r="M400" s="2">
        <v>60</v>
      </c>
      <c r="N400" t="str" cm="1">
        <f t="array" ref="N400">IF(M400=Table5[[#This Row],[Total Amount]],"Correct",Check)</f>
        <v>Correct</v>
      </c>
    </row>
    <row r="401" spans="3:14" x14ac:dyDescent="0.25">
      <c r="C401" s="2">
        <v>400</v>
      </c>
      <c r="D401" s="10">
        <v>44981</v>
      </c>
      <c r="E401" s="2" t="s">
        <v>420</v>
      </c>
      <c r="F401" s="2" t="s">
        <v>17</v>
      </c>
      <c r="G401" s="2">
        <v>53</v>
      </c>
      <c r="H401" s="2" t="s">
        <v>21</v>
      </c>
      <c r="I401" s="2">
        <v>4</v>
      </c>
      <c r="J401" s="2">
        <v>50</v>
      </c>
      <c r="K401" s="2">
        <v>200</v>
      </c>
      <c r="M401" s="2">
        <v>200</v>
      </c>
      <c r="N401" t="str" cm="1">
        <f t="array" ref="N401">IF(M401=Table5[[#This Row],[Total Amount]],"Correct",Check)</f>
        <v>Correct</v>
      </c>
    </row>
    <row r="402" spans="3:14" x14ac:dyDescent="0.25">
      <c r="C402" s="2">
        <v>401</v>
      </c>
      <c r="D402" s="10">
        <v>45210</v>
      </c>
      <c r="E402" s="2" t="s">
        <v>421</v>
      </c>
      <c r="F402" s="2" t="s">
        <v>20</v>
      </c>
      <c r="G402" s="2">
        <v>62</v>
      </c>
      <c r="H402" s="2" t="s">
        <v>21</v>
      </c>
      <c r="I402" s="2">
        <v>1</v>
      </c>
      <c r="J402" s="2">
        <v>300</v>
      </c>
      <c r="K402" s="2">
        <v>300</v>
      </c>
      <c r="M402" s="2">
        <v>300</v>
      </c>
      <c r="N402" t="str" cm="1">
        <f t="array" ref="N402">IF(M402=Table5[[#This Row],[Total Amount]],"Correct",Check)</f>
        <v>Correct</v>
      </c>
    </row>
    <row r="403" spans="3:14" x14ac:dyDescent="0.25">
      <c r="C403" s="2">
        <v>402</v>
      </c>
      <c r="D403" s="10">
        <v>45006</v>
      </c>
      <c r="E403" s="2" t="s">
        <v>422</v>
      </c>
      <c r="F403" s="2" t="s">
        <v>20</v>
      </c>
      <c r="G403" s="2">
        <v>41</v>
      </c>
      <c r="H403" s="2" t="s">
        <v>21</v>
      </c>
      <c r="I403" s="2">
        <v>2</v>
      </c>
      <c r="J403" s="2">
        <v>300</v>
      </c>
      <c r="K403" s="2">
        <v>600</v>
      </c>
      <c r="M403" s="2">
        <v>600</v>
      </c>
      <c r="N403" t="str" cm="1">
        <f t="array" ref="N403">IF(M403=Table5[[#This Row],[Total Amount]],"Correct",Check)</f>
        <v>Correct</v>
      </c>
    </row>
    <row r="404" spans="3:14" x14ac:dyDescent="0.25">
      <c r="C404" s="2">
        <v>403</v>
      </c>
      <c r="D404" s="10">
        <v>45066</v>
      </c>
      <c r="E404" s="2" t="s">
        <v>423</v>
      </c>
      <c r="F404" s="2" t="s">
        <v>17</v>
      </c>
      <c r="G404" s="2">
        <v>32</v>
      </c>
      <c r="H404" s="2" t="s">
        <v>21</v>
      </c>
      <c r="I404" s="2">
        <v>2</v>
      </c>
      <c r="J404" s="2">
        <v>300</v>
      </c>
      <c r="K404" s="2">
        <v>600</v>
      </c>
      <c r="M404" s="2">
        <v>600</v>
      </c>
      <c r="N404" t="str" cm="1">
        <f t="array" ref="N404">IF(M404=Table5[[#This Row],[Total Amount]],"Correct",Check)</f>
        <v>Correct</v>
      </c>
    </row>
    <row r="405" spans="3:14" x14ac:dyDescent="0.25">
      <c r="C405" s="2">
        <v>404</v>
      </c>
      <c r="D405" s="10">
        <v>45071</v>
      </c>
      <c r="E405" s="2" t="s">
        <v>424</v>
      </c>
      <c r="F405" s="2" t="s">
        <v>17</v>
      </c>
      <c r="G405" s="2">
        <v>46</v>
      </c>
      <c r="H405" s="2" t="s">
        <v>23</v>
      </c>
      <c r="I405" s="2">
        <v>2</v>
      </c>
      <c r="J405" s="2">
        <v>500</v>
      </c>
      <c r="K405" s="2">
        <v>1000</v>
      </c>
      <c r="M405" s="2">
        <v>1000</v>
      </c>
      <c r="N405" t="str" cm="1">
        <f t="array" ref="N405">IF(M405=Table5[[#This Row],[Total Amount]],"Correct",Check)</f>
        <v>Correct</v>
      </c>
    </row>
    <row r="406" spans="3:14" x14ac:dyDescent="0.25">
      <c r="C406" s="2">
        <v>405</v>
      </c>
      <c r="D406" s="10">
        <v>45236</v>
      </c>
      <c r="E406" s="2" t="s">
        <v>425</v>
      </c>
      <c r="F406" s="2" t="s">
        <v>20</v>
      </c>
      <c r="G406" s="2">
        <v>25</v>
      </c>
      <c r="H406" s="2" t="s">
        <v>21</v>
      </c>
      <c r="I406" s="2">
        <v>4</v>
      </c>
      <c r="J406" s="2">
        <v>300</v>
      </c>
      <c r="K406" s="2">
        <v>1200</v>
      </c>
      <c r="M406" s="2">
        <v>1200</v>
      </c>
      <c r="N406" t="str" cm="1">
        <f t="array" ref="N406">IF(M406=Table5[[#This Row],[Total Amount]],"Correct",Check)</f>
        <v>Correct</v>
      </c>
    </row>
    <row r="407" spans="3:14" x14ac:dyDescent="0.25">
      <c r="C407" s="2">
        <v>406</v>
      </c>
      <c r="D407" s="10">
        <v>45034</v>
      </c>
      <c r="E407" s="2" t="s">
        <v>426</v>
      </c>
      <c r="F407" s="2" t="s">
        <v>20</v>
      </c>
      <c r="G407" s="2">
        <v>22</v>
      </c>
      <c r="H407" s="2" t="s">
        <v>18</v>
      </c>
      <c r="I407" s="2">
        <v>4</v>
      </c>
      <c r="J407" s="2">
        <v>25</v>
      </c>
      <c r="K407" s="2">
        <v>100</v>
      </c>
      <c r="M407" s="2">
        <v>100</v>
      </c>
      <c r="N407" t="str" cm="1">
        <f t="array" ref="N407">IF(M407=Table5[[#This Row],[Total Amount]],"Correct",Check)</f>
        <v>Correct</v>
      </c>
    </row>
    <row r="408" spans="3:14" x14ac:dyDescent="0.25">
      <c r="C408" s="2">
        <v>407</v>
      </c>
      <c r="D408" s="10">
        <v>45102</v>
      </c>
      <c r="E408" s="2" t="s">
        <v>427</v>
      </c>
      <c r="F408" s="2" t="s">
        <v>20</v>
      </c>
      <c r="G408" s="2">
        <v>46</v>
      </c>
      <c r="H408" s="2" t="s">
        <v>23</v>
      </c>
      <c r="I408" s="2">
        <v>3</v>
      </c>
      <c r="J408" s="2">
        <v>300</v>
      </c>
      <c r="K408" s="2">
        <v>900</v>
      </c>
      <c r="M408" s="2">
        <v>900</v>
      </c>
      <c r="N408" t="str" cm="1">
        <f t="array" ref="N408">IF(M408=Table5[[#This Row],[Total Amount]],"Correct",Check)</f>
        <v>Correct</v>
      </c>
    </row>
    <row r="409" spans="3:14" x14ac:dyDescent="0.25">
      <c r="C409" s="2">
        <v>408</v>
      </c>
      <c r="D409" s="10">
        <v>45031</v>
      </c>
      <c r="E409" s="2" t="s">
        <v>428</v>
      </c>
      <c r="F409" s="2" t="s">
        <v>20</v>
      </c>
      <c r="G409" s="2">
        <v>64</v>
      </c>
      <c r="H409" s="2" t="s">
        <v>18</v>
      </c>
      <c r="I409" s="2">
        <v>1</v>
      </c>
      <c r="J409" s="2">
        <v>500</v>
      </c>
      <c r="K409" s="2">
        <v>500</v>
      </c>
      <c r="M409" s="2">
        <v>500</v>
      </c>
      <c r="N409" t="str" cm="1">
        <f t="array" ref="N409">IF(M409=Table5[[#This Row],[Total Amount]],"Correct",Check)</f>
        <v>Correct</v>
      </c>
    </row>
    <row r="410" spans="3:14" x14ac:dyDescent="0.25">
      <c r="C410" s="2">
        <v>409</v>
      </c>
      <c r="D410" s="10">
        <v>45278</v>
      </c>
      <c r="E410" s="2" t="s">
        <v>429</v>
      </c>
      <c r="F410" s="2" t="s">
        <v>20</v>
      </c>
      <c r="G410" s="2">
        <v>21</v>
      </c>
      <c r="H410" s="2" t="s">
        <v>23</v>
      </c>
      <c r="I410" s="2">
        <v>3</v>
      </c>
      <c r="J410" s="2">
        <v>300</v>
      </c>
      <c r="K410" s="2">
        <v>900</v>
      </c>
      <c r="M410" s="2">
        <v>900</v>
      </c>
      <c r="N410" t="str" cm="1">
        <f t="array" ref="N410">IF(M410=Table5[[#This Row],[Total Amount]],"Correct",Check)</f>
        <v>Correct</v>
      </c>
    </row>
    <row r="411" spans="3:14" x14ac:dyDescent="0.25">
      <c r="C411" s="2">
        <v>410</v>
      </c>
      <c r="D411" s="10">
        <v>45251</v>
      </c>
      <c r="E411" s="2" t="s">
        <v>430</v>
      </c>
      <c r="F411" s="2" t="s">
        <v>20</v>
      </c>
      <c r="G411" s="2">
        <v>29</v>
      </c>
      <c r="H411" s="2" t="s">
        <v>21</v>
      </c>
      <c r="I411" s="2">
        <v>2</v>
      </c>
      <c r="J411" s="2">
        <v>50</v>
      </c>
      <c r="K411" s="2">
        <v>100</v>
      </c>
      <c r="M411" s="2">
        <v>100</v>
      </c>
      <c r="N411" t="str" cm="1">
        <f t="array" ref="N411">IF(M411=Table5[[#This Row],[Total Amount]],"Correct",Check)</f>
        <v>Correct</v>
      </c>
    </row>
    <row r="412" spans="3:14" x14ac:dyDescent="0.25">
      <c r="C412" s="2">
        <v>411</v>
      </c>
      <c r="D412" s="10">
        <v>45062</v>
      </c>
      <c r="E412" s="2" t="s">
        <v>431</v>
      </c>
      <c r="F412" s="2" t="s">
        <v>17</v>
      </c>
      <c r="G412" s="2">
        <v>62</v>
      </c>
      <c r="H412" s="2" t="s">
        <v>23</v>
      </c>
      <c r="I412" s="2">
        <v>4</v>
      </c>
      <c r="J412" s="2">
        <v>50</v>
      </c>
      <c r="K412" s="2">
        <v>200</v>
      </c>
      <c r="M412" s="2">
        <v>200</v>
      </c>
      <c r="N412" t="str" cm="1">
        <f t="array" ref="N412">IF(M412=Table5[[#This Row],[Total Amount]],"Correct",Check)</f>
        <v>Correct</v>
      </c>
    </row>
    <row r="413" spans="3:14" x14ac:dyDescent="0.25">
      <c r="C413" s="2">
        <v>412</v>
      </c>
      <c r="D413" s="10">
        <v>45185</v>
      </c>
      <c r="E413" s="2" t="s">
        <v>432</v>
      </c>
      <c r="F413" s="2" t="s">
        <v>20</v>
      </c>
      <c r="G413" s="2">
        <v>19</v>
      </c>
      <c r="H413" s="2" t="s">
        <v>23</v>
      </c>
      <c r="I413" s="2">
        <v>4</v>
      </c>
      <c r="J413" s="2">
        <v>500</v>
      </c>
      <c r="K413" s="2">
        <v>2000</v>
      </c>
      <c r="M413" s="2">
        <v>2000</v>
      </c>
      <c r="N413" t="str" cm="1">
        <f t="array" ref="N413">IF(M413=Table5[[#This Row],[Total Amount]],"Correct",Check)</f>
        <v>Correct</v>
      </c>
    </row>
    <row r="414" spans="3:14" x14ac:dyDescent="0.25">
      <c r="C414" s="2">
        <v>413</v>
      </c>
      <c r="D414" s="10">
        <v>45177</v>
      </c>
      <c r="E414" s="2" t="s">
        <v>433</v>
      </c>
      <c r="F414" s="2" t="s">
        <v>20</v>
      </c>
      <c r="G414" s="2">
        <v>44</v>
      </c>
      <c r="H414" s="2" t="s">
        <v>18</v>
      </c>
      <c r="I414" s="2">
        <v>3</v>
      </c>
      <c r="J414" s="2">
        <v>25</v>
      </c>
      <c r="K414" s="2">
        <v>75</v>
      </c>
      <c r="M414" s="2">
        <v>75</v>
      </c>
      <c r="N414" t="str" cm="1">
        <f t="array" ref="N414">IF(M414=Table5[[#This Row],[Total Amount]],"Correct",Check)</f>
        <v>Correct</v>
      </c>
    </row>
    <row r="415" spans="3:14" x14ac:dyDescent="0.25">
      <c r="C415" s="2">
        <v>414</v>
      </c>
      <c r="D415" s="10">
        <v>45055</v>
      </c>
      <c r="E415" s="2" t="s">
        <v>434</v>
      </c>
      <c r="F415" s="2" t="s">
        <v>17</v>
      </c>
      <c r="G415" s="2">
        <v>48</v>
      </c>
      <c r="H415" s="2" t="s">
        <v>18</v>
      </c>
      <c r="I415" s="2">
        <v>4</v>
      </c>
      <c r="J415" s="2">
        <v>25</v>
      </c>
      <c r="K415" s="2">
        <v>100</v>
      </c>
      <c r="M415" s="2">
        <v>100</v>
      </c>
      <c r="N415" t="str" cm="1">
        <f t="array" ref="N415">IF(M415=Table5[[#This Row],[Total Amount]],"Correct",Check)</f>
        <v>Correct</v>
      </c>
    </row>
    <row r="416" spans="3:14" x14ac:dyDescent="0.25">
      <c r="C416" s="2">
        <v>415</v>
      </c>
      <c r="D416" s="10">
        <v>44953</v>
      </c>
      <c r="E416" s="2" t="s">
        <v>435</v>
      </c>
      <c r="F416" s="2" t="s">
        <v>17</v>
      </c>
      <c r="G416" s="2">
        <v>53</v>
      </c>
      <c r="H416" s="2" t="s">
        <v>21</v>
      </c>
      <c r="I416" s="2">
        <v>2</v>
      </c>
      <c r="J416" s="2">
        <v>30</v>
      </c>
      <c r="K416" s="2">
        <v>60</v>
      </c>
      <c r="M416" s="2">
        <v>60</v>
      </c>
      <c r="N416" t="str" cm="1">
        <f t="array" ref="N416">IF(M416=Table5[[#This Row],[Total Amount]],"Correct",Check)</f>
        <v>Correct</v>
      </c>
    </row>
    <row r="417" spans="3:14" x14ac:dyDescent="0.25">
      <c r="C417" s="2">
        <v>416</v>
      </c>
      <c r="D417" s="10">
        <v>44974</v>
      </c>
      <c r="E417" s="2" t="s">
        <v>436</v>
      </c>
      <c r="F417" s="2" t="s">
        <v>17</v>
      </c>
      <c r="G417" s="2">
        <v>53</v>
      </c>
      <c r="H417" s="2" t="s">
        <v>23</v>
      </c>
      <c r="I417" s="2">
        <v>4</v>
      </c>
      <c r="J417" s="2">
        <v>500</v>
      </c>
      <c r="K417" s="2">
        <v>2000</v>
      </c>
      <c r="M417" s="2">
        <v>2000</v>
      </c>
      <c r="N417" t="str" cm="1">
        <f t="array" ref="N417">IF(M417=Table5[[#This Row],[Total Amount]],"Correct",Check)</f>
        <v>Correct</v>
      </c>
    </row>
    <row r="418" spans="3:14" x14ac:dyDescent="0.25">
      <c r="C418" s="2">
        <v>417</v>
      </c>
      <c r="D418" s="10">
        <v>45251</v>
      </c>
      <c r="E418" s="2" t="s">
        <v>437</v>
      </c>
      <c r="F418" s="2" t="s">
        <v>17</v>
      </c>
      <c r="G418" s="2">
        <v>43</v>
      </c>
      <c r="H418" s="2" t="s">
        <v>23</v>
      </c>
      <c r="I418" s="2">
        <v>3</v>
      </c>
      <c r="J418" s="2">
        <v>300</v>
      </c>
      <c r="K418" s="2">
        <v>900</v>
      </c>
      <c r="M418" s="2">
        <v>900</v>
      </c>
      <c r="N418" t="str" cm="1">
        <f t="array" ref="N418">IF(M418=Table5[[#This Row],[Total Amount]],"Correct",Check)</f>
        <v>Correct</v>
      </c>
    </row>
    <row r="419" spans="3:14" x14ac:dyDescent="0.25">
      <c r="C419" s="2">
        <v>418</v>
      </c>
      <c r="D419" s="10">
        <v>45143</v>
      </c>
      <c r="E419" s="2" t="s">
        <v>438</v>
      </c>
      <c r="F419" s="2" t="s">
        <v>20</v>
      </c>
      <c r="G419" s="2">
        <v>60</v>
      </c>
      <c r="H419" s="2" t="s">
        <v>23</v>
      </c>
      <c r="I419" s="2">
        <v>2</v>
      </c>
      <c r="J419" s="2">
        <v>500</v>
      </c>
      <c r="K419" s="2">
        <v>1000</v>
      </c>
      <c r="M419" s="2">
        <v>1000</v>
      </c>
      <c r="N419" t="str" cm="1">
        <f t="array" ref="N419">IF(M419=Table5[[#This Row],[Total Amount]],"Correct",Check)</f>
        <v>Correct</v>
      </c>
    </row>
    <row r="420" spans="3:14" x14ac:dyDescent="0.25">
      <c r="C420" s="2">
        <v>419</v>
      </c>
      <c r="D420" s="10">
        <v>45068</v>
      </c>
      <c r="E420" s="2" t="s">
        <v>439</v>
      </c>
      <c r="F420" s="2" t="s">
        <v>20</v>
      </c>
      <c r="G420" s="2">
        <v>44</v>
      </c>
      <c r="H420" s="2" t="s">
        <v>21</v>
      </c>
      <c r="I420" s="2">
        <v>3</v>
      </c>
      <c r="J420" s="2">
        <v>30</v>
      </c>
      <c r="K420" s="2">
        <v>90</v>
      </c>
      <c r="M420" s="2">
        <v>90</v>
      </c>
      <c r="N420" t="str" cm="1">
        <f t="array" ref="N420">IF(M420=Table5[[#This Row],[Total Amount]],"Correct",Check)</f>
        <v>Correct</v>
      </c>
    </row>
    <row r="421" spans="3:14" x14ac:dyDescent="0.25">
      <c r="C421" s="2">
        <v>420</v>
      </c>
      <c r="D421" s="10">
        <v>44949</v>
      </c>
      <c r="E421" s="2" t="s">
        <v>440</v>
      </c>
      <c r="F421" s="2" t="s">
        <v>20</v>
      </c>
      <c r="G421" s="2">
        <v>22</v>
      </c>
      <c r="H421" s="2" t="s">
        <v>21</v>
      </c>
      <c r="I421" s="2">
        <v>4</v>
      </c>
      <c r="J421" s="2">
        <v>500</v>
      </c>
      <c r="K421" s="2">
        <v>2000</v>
      </c>
      <c r="M421" s="2">
        <v>2000</v>
      </c>
      <c r="N421" t="str" cm="1">
        <f t="array" ref="N421">IF(M421=Table5[[#This Row],[Total Amount]],"Correct",Check)</f>
        <v>Correct</v>
      </c>
    </row>
    <row r="422" spans="3:14" x14ac:dyDescent="0.25">
      <c r="C422" s="2">
        <v>421</v>
      </c>
      <c r="D422" s="10">
        <v>44928</v>
      </c>
      <c r="E422" s="2" t="s">
        <v>441</v>
      </c>
      <c r="F422" s="2" t="s">
        <v>20</v>
      </c>
      <c r="G422" s="2">
        <v>37</v>
      </c>
      <c r="H422" s="2" t="s">
        <v>21</v>
      </c>
      <c r="I422" s="2">
        <v>3</v>
      </c>
      <c r="J422" s="2">
        <v>500</v>
      </c>
      <c r="K422" s="2">
        <v>1500</v>
      </c>
      <c r="M422" s="2">
        <v>1500</v>
      </c>
      <c r="N422" t="str" cm="1">
        <f t="array" ref="N422">IF(M422=Table5[[#This Row],[Total Amount]],"Correct",Check)</f>
        <v>Correct</v>
      </c>
    </row>
    <row r="423" spans="3:14" x14ac:dyDescent="0.25">
      <c r="C423" s="2">
        <v>422</v>
      </c>
      <c r="D423" s="10">
        <v>45097</v>
      </c>
      <c r="E423" s="2" t="s">
        <v>442</v>
      </c>
      <c r="F423" s="2" t="s">
        <v>20</v>
      </c>
      <c r="G423" s="2">
        <v>28</v>
      </c>
      <c r="H423" s="2" t="s">
        <v>21</v>
      </c>
      <c r="I423" s="2">
        <v>3</v>
      </c>
      <c r="J423" s="2">
        <v>30</v>
      </c>
      <c r="K423" s="2">
        <v>90</v>
      </c>
      <c r="M423" s="2">
        <v>90</v>
      </c>
      <c r="N423" t="str" cm="1">
        <f t="array" ref="N423">IF(M423=Table5[[#This Row],[Total Amount]],"Correct",Check)</f>
        <v>Correct</v>
      </c>
    </row>
    <row r="424" spans="3:14" x14ac:dyDescent="0.25">
      <c r="C424" s="2">
        <v>423</v>
      </c>
      <c r="D424" s="10">
        <v>44993</v>
      </c>
      <c r="E424" s="2" t="s">
        <v>443</v>
      </c>
      <c r="F424" s="2" t="s">
        <v>20</v>
      </c>
      <c r="G424" s="2">
        <v>27</v>
      </c>
      <c r="H424" s="2" t="s">
        <v>21</v>
      </c>
      <c r="I424" s="2">
        <v>1</v>
      </c>
      <c r="J424" s="2">
        <v>25</v>
      </c>
      <c r="K424" s="2">
        <v>25</v>
      </c>
      <c r="M424" s="2">
        <v>25</v>
      </c>
      <c r="N424" t="str" cm="1">
        <f t="array" ref="N424">IF(M424=Table5[[#This Row],[Total Amount]],"Correct",Check)</f>
        <v>Correct</v>
      </c>
    </row>
    <row r="425" spans="3:14" x14ac:dyDescent="0.25">
      <c r="C425" s="2">
        <v>424</v>
      </c>
      <c r="D425" s="10">
        <v>45253</v>
      </c>
      <c r="E425" s="2" t="s">
        <v>444</v>
      </c>
      <c r="F425" s="2" t="s">
        <v>17</v>
      </c>
      <c r="G425" s="2">
        <v>57</v>
      </c>
      <c r="H425" s="2" t="s">
        <v>18</v>
      </c>
      <c r="I425" s="2">
        <v>4</v>
      </c>
      <c r="J425" s="2">
        <v>300</v>
      </c>
      <c r="K425" s="2">
        <v>1200</v>
      </c>
      <c r="M425" s="2">
        <v>1200</v>
      </c>
      <c r="N425" t="str" cm="1">
        <f t="array" ref="N425">IF(M425=Table5[[#This Row],[Total Amount]],"Correct",Check)</f>
        <v>Correct</v>
      </c>
    </row>
    <row r="426" spans="3:14" x14ac:dyDescent="0.25">
      <c r="C426" s="2">
        <v>425</v>
      </c>
      <c r="D426" s="10">
        <v>45061</v>
      </c>
      <c r="E426" s="2" t="s">
        <v>445</v>
      </c>
      <c r="F426" s="2" t="s">
        <v>20</v>
      </c>
      <c r="G426" s="2">
        <v>55</v>
      </c>
      <c r="H426" s="2" t="s">
        <v>23</v>
      </c>
      <c r="I426" s="2">
        <v>4</v>
      </c>
      <c r="J426" s="2">
        <v>30</v>
      </c>
      <c r="K426" s="2">
        <v>120</v>
      </c>
      <c r="M426" s="2">
        <v>120</v>
      </c>
      <c r="N426" t="str" cm="1">
        <f t="array" ref="N426">IF(M426=Table5[[#This Row],[Total Amount]],"Correct",Check)</f>
        <v>Correct</v>
      </c>
    </row>
    <row r="427" spans="3:14" x14ac:dyDescent="0.25">
      <c r="C427" s="2">
        <v>426</v>
      </c>
      <c r="D427" s="10">
        <v>45009</v>
      </c>
      <c r="E427" s="2" t="s">
        <v>446</v>
      </c>
      <c r="F427" s="2" t="s">
        <v>17</v>
      </c>
      <c r="G427" s="2">
        <v>23</v>
      </c>
      <c r="H427" s="2" t="s">
        <v>23</v>
      </c>
      <c r="I427" s="2">
        <v>3</v>
      </c>
      <c r="J427" s="2">
        <v>50</v>
      </c>
      <c r="K427" s="2">
        <v>150</v>
      </c>
      <c r="M427" s="2">
        <v>150</v>
      </c>
      <c r="N427" t="str" cm="1">
        <f t="array" ref="N427">IF(M427=Table5[[#This Row],[Total Amount]],"Correct",Check)</f>
        <v>Correct</v>
      </c>
    </row>
    <row r="428" spans="3:14" x14ac:dyDescent="0.25">
      <c r="C428" s="2">
        <v>427</v>
      </c>
      <c r="D428" s="10">
        <v>45153</v>
      </c>
      <c r="E428" s="2" t="s">
        <v>447</v>
      </c>
      <c r="F428" s="2" t="s">
        <v>17</v>
      </c>
      <c r="G428" s="2">
        <v>25</v>
      </c>
      <c r="H428" s="2" t="s">
        <v>23</v>
      </c>
      <c r="I428" s="2">
        <v>1</v>
      </c>
      <c r="J428" s="2">
        <v>25</v>
      </c>
      <c r="K428" s="2">
        <v>25</v>
      </c>
      <c r="M428" s="2">
        <v>25</v>
      </c>
      <c r="N428" t="str" cm="1">
        <f t="array" ref="N428">IF(M428=Table5[[#This Row],[Total Amount]],"Correct",Check)</f>
        <v>Correct</v>
      </c>
    </row>
    <row r="429" spans="3:14" x14ac:dyDescent="0.25">
      <c r="C429" s="2">
        <v>428</v>
      </c>
      <c r="D429" s="10">
        <v>45209</v>
      </c>
      <c r="E429" s="2" t="s">
        <v>448</v>
      </c>
      <c r="F429" s="2" t="s">
        <v>20</v>
      </c>
      <c r="G429" s="2">
        <v>40</v>
      </c>
      <c r="H429" s="2" t="s">
        <v>23</v>
      </c>
      <c r="I429" s="2">
        <v>4</v>
      </c>
      <c r="J429" s="2">
        <v>50</v>
      </c>
      <c r="K429" s="2">
        <v>200</v>
      </c>
      <c r="M429" s="2">
        <v>200</v>
      </c>
      <c r="N429" t="str" cm="1">
        <f t="array" ref="N429">IF(M429=Table5[[#This Row],[Total Amount]],"Correct",Check)</f>
        <v>Correct</v>
      </c>
    </row>
    <row r="430" spans="3:14" x14ac:dyDescent="0.25">
      <c r="C430" s="2">
        <v>429</v>
      </c>
      <c r="D430" s="10">
        <v>45288</v>
      </c>
      <c r="E430" s="2" t="s">
        <v>449</v>
      </c>
      <c r="F430" s="2" t="s">
        <v>17</v>
      </c>
      <c r="G430" s="2">
        <v>64</v>
      </c>
      <c r="H430" s="2" t="s">
        <v>23</v>
      </c>
      <c r="I430" s="2">
        <v>2</v>
      </c>
      <c r="J430" s="2">
        <v>25</v>
      </c>
      <c r="K430" s="2">
        <v>50</v>
      </c>
      <c r="M430" s="2">
        <v>50</v>
      </c>
      <c r="N430" t="str" cm="1">
        <f t="array" ref="N430">IF(M430=Table5[[#This Row],[Total Amount]],"Correct",Check)</f>
        <v>Correct</v>
      </c>
    </row>
    <row r="431" spans="3:14" x14ac:dyDescent="0.25">
      <c r="C431" s="2">
        <v>430</v>
      </c>
      <c r="D431" s="10">
        <v>45145</v>
      </c>
      <c r="E431" s="2" t="s">
        <v>450</v>
      </c>
      <c r="F431" s="2" t="s">
        <v>20</v>
      </c>
      <c r="G431" s="2">
        <v>43</v>
      </c>
      <c r="H431" s="2" t="s">
        <v>23</v>
      </c>
      <c r="I431" s="2">
        <v>3</v>
      </c>
      <c r="J431" s="2">
        <v>300</v>
      </c>
      <c r="K431" s="2">
        <v>900</v>
      </c>
      <c r="M431" s="2">
        <v>900</v>
      </c>
      <c r="N431" t="str" cm="1">
        <f t="array" ref="N431">IF(M431=Table5[[#This Row],[Total Amount]],"Correct",Check)</f>
        <v>Correct</v>
      </c>
    </row>
    <row r="432" spans="3:14" x14ac:dyDescent="0.25">
      <c r="C432" s="2">
        <v>431</v>
      </c>
      <c r="D432" s="10">
        <v>45214</v>
      </c>
      <c r="E432" s="2" t="s">
        <v>451</v>
      </c>
      <c r="F432" s="2" t="s">
        <v>17</v>
      </c>
      <c r="G432" s="2">
        <v>63</v>
      </c>
      <c r="H432" s="2" t="s">
        <v>23</v>
      </c>
      <c r="I432" s="2">
        <v>4</v>
      </c>
      <c r="J432" s="2">
        <v>300</v>
      </c>
      <c r="K432" s="2">
        <v>1200</v>
      </c>
      <c r="M432" s="2">
        <v>1200</v>
      </c>
      <c r="N432" t="str" cm="1">
        <f t="array" ref="N432">IF(M432=Table5[[#This Row],[Total Amount]],"Correct",Check)</f>
        <v>Correct</v>
      </c>
    </row>
    <row r="433" spans="3:14" x14ac:dyDescent="0.25">
      <c r="C433" s="2">
        <v>432</v>
      </c>
      <c r="D433" s="10">
        <v>44931</v>
      </c>
      <c r="E433" s="2" t="s">
        <v>452</v>
      </c>
      <c r="F433" s="2" t="s">
        <v>20</v>
      </c>
      <c r="G433" s="2">
        <v>60</v>
      </c>
      <c r="H433" s="2" t="s">
        <v>23</v>
      </c>
      <c r="I433" s="2">
        <v>2</v>
      </c>
      <c r="J433" s="2">
        <v>500</v>
      </c>
      <c r="K433" s="2">
        <v>1000</v>
      </c>
      <c r="M433" s="2">
        <v>1000</v>
      </c>
      <c r="N433" t="str" cm="1">
        <f t="array" ref="N433">IF(M433=Table5[[#This Row],[Total Amount]],"Correct",Check)</f>
        <v>Correct</v>
      </c>
    </row>
    <row r="434" spans="3:14" x14ac:dyDescent="0.25">
      <c r="C434" s="2">
        <v>433</v>
      </c>
      <c r="D434" s="10">
        <v>44984</v>
      </c>
      <c r="E434" s="2" t="s">
        <v>453</v>
      </c>
      <c r="F434" s="2" t="s">
        <v>17</v>
      </c>
      <c r="G434" s="2">
        <v>29</v>
      </c>
      <c r="H434" s="2" t="s">
        <v>18</v>
      </c>
      <c r="I434" s="2">
        <v>4</v>
      </c>
      <c r="J434" s="2">
        <v>50</v>
      </c>
      <c r="K434" s="2">
        <v>200</v>
      </c>
      <c r="M434" s="2">
        <v>200</v>
      </c>
      <c r="N434" t="str" cm="1">
        <f t="array" ref="N434">IF(M434=Table5[[#This Row],[Total Amount]],"Correct",Check)</f>
        <v>Correct</v>
      </c>
    </row>
    <row r="435" spans="3:14" x14ac:dyDescent="0.25">
      <c r="C435" s="2">
        <v>434</v>
      </c>
      <c r="D435" s="10">
        <v>44965</v>
      </c>
      <c r="E435" s="2" t="s">
        <v>454</v>
      </c>
      <c r="F435" s="2" t="s">
        <v>20</v>
      </c>
      <c r="G435" s="2">
        <v>43</v>
      </c>
      <c r="H435" s="2" t="s">
        <v>23</v>
      </c>
      <c r="I435" s="2">
        <v>2</v>
      </c>
      <c r="J435" s="2">
        <v>25</v>
      </c>
      <c r="K435" s="2">
        <v>50</v>
      </c>
      <c r="M435" s="2">
        <v>50</v>
      </c>
      <c r="N435" t="str" cm="1">
        <f t="array" ref="N435">IF(M435=Table5[[#This Row],[Total Amount]],"Correct",Check)</f>
        <v>Correct</v>
      </c>
    </row>
    <row r="436" spans="3:14" x14ac:dyDescent="0.25">
      <c r="C436" s="2">
        <v>435</v>
      </c>
      <c r="D436" s="10">
        <v>45280</v>
      </c>
      <c r="E436" s="2" t="s">
        <v>455</v>
      </c>
      <c r="F436" s="2" t="s">
        <v>20</v>
      </c>
      <c r="G436" s="2">
        <v>30</v>
      </c>
      <c r="H436" s="2" t="s">
        <v>18</v>
      </c>
      <c r="I436" s="2">
        <v>3</v>
      </c>
      <c r="J436" s="2">
        <v>300</v>
      </c>
      <c r="K436" s="2">
        <v>900</v>
      </c>
      <c r="M436" s="2">
        <v>900</v>
      </c>
      <c r="N436" t="str" cm="1">
        <f t="array" ref="N436">IF(M436=Table5[[#This Row],[Total Amount]],"Correct",Check)</f>
        <v>Correct</v>
      </c>
    </row>
    <row r="437" spans="3:14" x14ac:dyDescent="0.25">
      <c r="C437" s="2">
        <v>436</v>
      </c>
      <c r="D437" s="10">
        <v>45003</v>
      </c>
      <c r="E437" s="2" t="s">
        <v>456</v>
      </c>
      <c r="F437" s="2" t="s">
        <v>20</v>
      </c>
      <c r="G437" s="2">
        <v>57</v>
      </c>
      <c r="H437" s="2" t="s">
        <v>21</v>
      </c>
      <c r="I437" s="2">
        <v>4</v>
      </c>
      <c r="J437" s="2">
        <v>30</v>
      </c>
      <c r="K437" s="2">
        <v>120</v>
      </c>
      <c r="M437" s="2">
        <v>120</v>
      </c>
      <c r="N437" t="str" cm="1">
        <f t="array" ref="N437">IF(M437=Table5[[#This Row],[Total Amount]],"Correct",Check)</f>
        <v>Correct</v>
      </c>
    </row>
    <row r="438" spans="3:14" x14ac:dyDescent="0.25">
      <c r="C438" s="2">
        <v>437</v>
      </c>
      <c r="D438" s="10">
        <v>45206</v>
      </c>
      <c r="E438" s="2" t="s">
        <v>457</v>
      </c>
      <c r="F438" s="2" t="s">
        <v>20</v>
      </c>
      <c r="G438" s="2">
        <v>35</v>
      </c>
      <c r="H438" s="2" t="s">
        <v>23</v>
      </c>
      <c r="I438" s="2">
        <v>4</v>
      </c>
      <c r="J438" s="2">
        <v>300</v>
      </c>
      <c r="K438" s="2">
        <v>1200</v>
      </c>
      <c r="M438" s="2">
        <v>1200</v>
      </c>
      <c r="N438" t="str" cm="1">
        <f t="array" ref="N438">IF(M438=Table5[[#This Row],[Total Amount]],"Correct",Check)</f>
        <v>Correct</v>
      </c>
    </row>
    <row r="439" spans="3:14" x14ac:dyDescent="0.25">
      <c r="C439" s="2">
        <v>438</v>
      </c>
      <c r="D439" s="10">
        <v>44945</v>
      </c>
      <c r="E439" s="2" t="s">
        <v>458</v>
      </c>
      <c r="F439" s="2" t="s">
        <v>20</v>
      </c>
      <c r="G439" s="2">
        <v>42</v>
      </c>
      <c r="H439" s="2" t="s">
        <v>21</v>
      </c>
      <c r="I439" s="2">
        <v>1</v>
      </c>
      <c r="J439" s="2">
        <v>30</v>
      </c>
      <c r="K439" s="2">
        <v>30</v>
      </c>
      <c r="M439" s="2">
        <v>30</v>
      </c>
      <c r="N439" t="str" cm="1">
        <f t="array" ref="N439">IF(M439=Table5[[#This Row],[Total Amount]],"Correct",Check)</f>
        <v>Correct</v>
      </c>
    </row>
    <row r="440" spans="3:14" x14ac:dyDescent="0.25">
      <c r="C440" s="2">
        <v>439</v>
      </c>
      <c r="D440" s="10">
        <v>45116</v>
      </c>
      <c r="E440" s="2" t="s">
        <v>459</v>
      </c>
      <c r="F440" s="2" t="s">
        <v>17</v>
      </c>
      <c r="G440" s="2">
        <v>50</v>
      </c>
      <c r="H440" s="2" t="s">
        <v>21</v>
      </c>
      <c r="I440" s="2">
        <v>3</v>
      </c>
      <c r="J440" s="2">
        <v>25</v>
      </c>
      <c r="K440" s="2">
        <v>75</v>
      </c>
      <c r="M440" s="2">
        <v>75</v>
      </c>
      <c r="N440" t="str" cm="1">
        <f t="array" ref="N440">IF(M440=Table5[[#This Row],[Total Amount]],"Correct",Check)</f>
        <v>Correct</v>
      </c>
    </row>
    <row r="441" spans="3:14" x14ac:dyDescent="0.25">
      <c r="C441" s="2">
        <v>440</v>
      </c>
      <c r="D441" s="10">
        <v>45225</v>
      </c>
      <c r="E441" s="2" t="s">
        <v>460</v>
      </c>
      <c r="F441" s="2" t="s">
        <v>17</v>
      </c>
      <c r="G441" s="2">
        <v>64</v>
      </c>
      <c r="H441" s="2" t="s">
        <v>21</v>
      </c>
      <c r="I441" s="2">
        <v>2</v>
      </c>
      <c r="J441" s="2">
        <v>300</v>
      </c>
      <c r="K441" s="2">
        <v>600</v>
      </c>
      <c r="M441" s="2">
        <v>600</v>
      </c>
      <c r="N441" t="str" cm="1">
        <f t="array" ref="N441">IF(M441=Table5[[#This Row],[Total Amount]],"Correct",Check)</f>
        <v>Correct</v>
      </c>
    </row>
    <row r="442" spans="3:14" x14ac:dyDescent="0.25">
      <c r="C442" s="2">
        <v>441</v>
      </c>
      <c r="D442" s="10">
        <v>45209</v>
      </c>
      <c r="E442" s="2" t="s">
        <v>461</v>
      </c>
      <c r="F442" s="2" t="s">
        <v>17</v>
      </c>
      <c r="G442" s="2">
        <v>57</v>
      </c>
      <c r="H442" s="2" t="s">
        <v>18</v>
      </c>
      <c r="I442" s="2">
        <v>4</v>
      </c>
      <c r="J442" s="2">
        <v>300</v>
      </c>
      <c r="K442" s="2">
        <v>1200</v>
      </c>
      <c r="M442" s="2">
        <v>1200</v>
      </c>
      <c r="N442" t="str" cm="1">
        <f t="array" ref="N442">IF(M442=Table5[[#This Row],[Total Amount]],"Correct",Check)</f>
        <v>Correct</v>
      </c>
    </row>
    <row r="443" spans="3:14" x14ac:dyDescent="0.25">
      <c r="C443" s="2">
        <v>442</v>
      </c>
      <c r="D443" s="10">
        <v>45002</v>
      </c>
      <c r="E443" s="2" t="s">
        <v>462</v>
      </c>
      <c r="F443" s="2" t="s">
        <v>20</v>
      </c>
      <c r="G443" s="2">
        <v>60</v>
      </c>
      <c r="H443" s="2" t="s">
        <v>21</v>
      </c>
      <c r="I443" s="2">
        <v>4</v>
      </c>
      <c r="J443" s="2">
        <v>25</v>
      </c>
      <c r="K443" s="2">
        <v>100</v>
      </c>
      <c r="M443" s="2">
        <v>100</v>
      </c>
      <c r="N443" t="str" cm="1">
        <f t="array" ref="N443">IF(M443=Table5[[#This Row],[Total Amount]],"Correct",Check)</f>
        <v>Correct</v>
      </c>
    </row>
    <row r="444" spans="3:14" x14ac:dyDescent="0.25">
      <c r="C444" s="2">
        <v>443</v>
      </c>
      <c r="D444" s="10">
        <v>45147</v>
      </c>
      <c r="E444" s="2" t="s">
        <v>463</v>
      </c>
      <c r="F444" s="2" t="s">
        <v>17</v>
      </c>
      <c r="G444" s="2">
        <v>29</v>
      </c>
      <c r="H444" s="2" t="s">
        <v>21</v>
      </c>
      <c r="I444" s="2">
        <v>2</v>
      </c>
      <c r="J444" s="2">
        <v>300</v>
      </c>
      <c r="K444" s="2">
        <v>600</v>
      </c>
      <c r="M444" s="2">
        <v>600</v>
      </c>
      <c r="N444" t="str" cm="1">
        <f t="array" ref="N444">IF(M444=Table5[[#This Row],[Total Amount]],"Correct",Check)</f>
        <v>Correct</v>
      </c>
    </row>
    <row r="445" spans="3:14" x14ac:dyDescent="0.25">
      <c r="C445" s="2">
        <v>444</v>
      </c>
      <c r="D445" s="10">
        <v>44992</v>
      </c>
      <c r="E445" s="2" t="s">
        <v>464</v>
      </c>
      <c r="F445" s="2" t="s">
        <v>20</v>
      </c>
      <c r="G445" s="2">
        <v>61</v>
      </c>
      <c r="H445" s="2" t="s">
        <v>21</v>
      </c>
      <c r="I445" s="2">
        <v>3</v>
      </c>
      <c r="J445" s="2">
        <v>30</v>
      </c>
      <c r="K445" s="2">
        <v>90</v>
      </c>
      <c r="M445" s="2">
        <v>90</v>
      </c>
      <c r="N445" t="str" cm="1">
        <f t="array" ref="N445">IF(M445=Table5[[#This Row],[Total Amount]],"Correct",Check)</f>
        <v>Correct</v>
      </c>
    </row>
    <row r="446" spans="3:14" x14ac:dyDescent="0.25">
      <c r="C446" s="2">
        <v>445</v>
      </c>
      <c r="D446" s="10">
        <v>44948</v>
      </c>
      <c r="E446" s="2" t="s">
        <v>465</v>
      </c>
      <c r="F446" s="2" t="s">
        <v>20</v>
      </c>
      <c r="G446" s="2">
        <v>53</v>
      </c>
      <c r="H446" s="2" t="s">
        <v>23</v>
      </c>
      <c r="I446" s="2">
        <v>1</v>
      </c>
      <c r="J446" s="2">
        <v>300</v>
      </c>
      <c r="K446" s="2">
        <v>300</v>
      </c>
      <c r="M446" s="2">
        <v>300</v>
      </c>
      <c r="N446" t="str" cm="1">
        <f t="array" ref="N446">IF(M446=Table5[[#This Row],[Total Amount]],"Correct",Check)</f>
        <v>Correct</v>
      </c>
    </row>
    <row r="447" spans="3:14" x14ac:dyDescent="0.25">
      <c r="C447" s="2">
        <v>446</v>
      </c>
      <c r="D447" s="10">
        <v>45084</v>
      </c>
      <c r="E447" s="2" t="s">
        <v>466</v>
      </c>
      <c r="F447" s="2" t="s">
        <v>17</v>
      </c>
      <c r="G447" s="2">
        <v>21</v>
      </c>
      <c r="H447" s="2" t="s">
        <v>23</v>
      </c>
      <c r="I447" s="2">
        <v>1</v>
      </c>
      <c r="J447" s="2">
        <v>50</v>
      </c>
      <c r="K447" s="2">
        <v>50</v>
      </c>
      <c r="M447" s="2">
        <v>50</v>
      </c>
      <c r="N447" t="str" cm="1">
        <f t="array" ref="N447">IF(M447=Table5[[#This Row],[Total Amount]],"Correct",Check)</f>
        <v>Correct</v>
      </c>
    </row>
    <row r="448" spans="3:14" x14ac:dyDescent="0.25">
      <c r="C448" s="2">
        <v>447</v>
      </c>
      <c r="D448" s="10">
        <v>45113</v>
      </c>
      <c r="E448" s="2" t="s">
        <v>467</v>
      </c>
      <c r="F448" s="2" t="s">
        <v>17</v>
      </c>
      <c r="G448" s="2">
        <v>22</v>
      </c>
      <c r="H448" s="2" t="s">
        <v>18</v>
      </c>
      <c r="I448" s="2">
        <v>4</v>
      </c>
      <c r="J448" s="2">
        <v>500</v>
      </c>
      <c r="K448" s="2">
        <v>2000</v>
      </c>
      <c r="M448" s="2">
        <v>2000</v>
      </c>
      <c r="N448" t="str" cm="1">
        <f t="array" ref="N448">IF(M448=Table5[[#This Row],[Total Amount]],"Correct",Check)</f>
        <v>Correct</v>
      </c>
    </row>
    <row r="449" spans="3:14" x14ac:dyDescent="0.25">
      <c r="C449" s="2">
        <v>448</v>
      </c>
      <c r="D449" s="10">
        <v>44947</v>
      </c>
      <c r="E449" s="2" t="s">
        <v>468</v>
      </c>
      <c r="F449" s="2" t="s">
        <v>20</v>
      </c>
      <c r="G449" s="2">
        <v>54</v>
      </c>
      <c r="H449" s="2" t="s">
        <v>18</v>
      </c>
      <c r="I449" s="2">
        <v>2</v>
      </c>
      <c r="J449" s="2">
        <v>30</v>
      </c>
      <c r="K449" s="2">
        <v>60</v>
      </c>
      <c r="M449" s="2">
        <v>60</v>
      </c>
      <c r="N449" t="str" cm="1">
        <f t="array" ref="N449">IF(M449=Table5[[#This Row],[Total Amount]],"Correct",Check)</f>
        <v>Correct</v>
      </c>
    </row>
    <row r="450" spans="3:14" x14ac:dyDescent="0.25">
      <c r="C450" s="2">
        <v>449</v>
      </c>
      <c r="D450" s="10">
        <v>45110</v>
      </c>
      <c r="E450" s="2" t="s">
        <v>469</v>
      </c>
      <c r="F450" s="2" t="s">
        <v>17</v>
      </c>
      <c r="G450" s="2">
        <v>25</v>
      </c>
      <c r="H450" s="2" t="s">
        <v>23</v>
      </c>
      <c r="I450" s="2">
        <v>4</v>
      </c>
      <c r="J450" s="2">
        <v>50</v>
      </c>
      <c r="K450" s="2">
        <v>200</v>
      </c>
      <c r="M450" s="2">
        <v>200</v>
      </c>
      <c r="N450" t="str" cm="1">
        <f t="array" ref="N450">IF(M450=Table5[[#This Row],[Total Amount]],"Correct",Check)</f>
        <v>Correct</v>
      </c>
    </row>
    <row r="451" spans="3:14" x14ac:dyDescent="0.25">
      <c r="C451" s="2">
        <v>450</v>
      </c>
      <c r="D451" s="10">
        <v>45034</v>
      </c>
      <c r="E451" s="2" t="s">
        <v>470</v>
      </c>
      <c r="F451" s="2" t="s">
        <v>20</v>
      </c>
      <c r="G451" s="2">
        <v>59</v>
      </c>
      <c r="H451" s="2" t="s">
        <v>18</v>
      </c>
      <c r="I451" s="2">
        <v>2</v>
      </c>
      <c r="J451" s="2">
        <v>25</v>
      </c>
      <c r="K451" s="2">
        <v>50</v>
      </c>
      <c r="M451" s="2">
        <v>50</v>
      </c>
      <c r="N451" t="str" cm="1">
        <f t="array" ref="N451">IF(M451=Table5[[#This Row],[Total Amount]],"Correct",Check)</f>
        <v>Correct</v>
      </c>
    </row>
    <row r="452" spans="3:14" x14ac:dyDescent="0.25">
      <c r="C452" s="2">
        <v>451</v>
      </c>
      <c r="D452" s="10">
        <v>45276</v>
      </c>
      <c r="E452" s="2" t="s">
        <v>471</v>
      </c>
      <c r="F452" s="2" t="s">
        <v>20</v>
      </c>
      <c r="G452" s="2">
        <v>45</v>
      </c>
      <c r="H452" s="2" t="s">
        <v>23</v>
      </c>
      <c r="I452" s="2">
        <v>1</v>
      </c>
      <c r="J452" s="2">
        <v>30</v>
      </c>
      <c r="K452" s="2">
        <v>30</v>
      </c>
      <c r="M452" s="2">
        <v>30</v>
      </c>
      <c r="N452" t="str" cm="1">
        <f t="array" ref="N452">IF(M452=Table5[[#This Row],[Total Amount]],"Correct",Check)</f>
        <v>Correct</v>
      </c>
    </row>
    <row r="453" spans="3:14" x14ac:dyDescent="0.25">
      <c r="C453" s="2">
        <v>452</v>
      </c>
      <c r="D453" s="10">
        <v>45054</v>
      </c>
      <c r="E453" s="2" t="s">
        <v>472</v>
      </c>
      <c r="F453" s="2" t="s">
        <v>20</v>
      </c>
      <c r="G453" s="2">
        <v>48</v>
      </c>
      <c r="H453" s="2" t="s">
        <v>21</v>
      </c>
      <c r="I453" s="2">
        <v>3</v>
      </c>
      <c r="J453" s="2">
        <v>500</v>
      </c>
      <c r="K453" s="2">
        <v>1500</v>
      </c>
      <c r="M453" s="2">
        <v>1500</v>
      </c>
      <c r="N453" t="str" cm="1">
        <f t="array" ref="N453">IF(M453=Table5[[#This Row],[Total Amount]],"Correct",Check)</f>
        <v>Correct</v>
      </c>
    </row>
    <row r="454" spans="3:14" x14ac:dyDescent="0.25">
      <c r="C454" s="2">
        <v>453</v>
      </c>
      <c r="D454" s="10">
        <v>45268</v>
      </c>
      <c r="E454" s="2" t="s">
        <v>473</v>
      </c>
      <c r="F454" s="2" t="s">
        <v>20</v>
      </c>
      <c r="G454" s="2">
        <v>26</v>
      </c>
      <c r="H454" s="2" t="s">
        <v>21</v>
      </c>
      <c r="I454" s="2">
        <v>2</v>
      </c>
      <c r="J454" s="2">
        <v>500</v>
      </c>
      <c r="K454" s="2">
        <v>1000</v>
      </c>
      <c r="M454" s="2">
        <v>1000</v>
      </c>
      <c r="N454" t="str" cm="1">
        <f t="array" ref="N454">IF(M454=Table5[[#This Row],[Total Amount]],"Correct",Check)</f>
        <v>Correct</v>
      </c>
    </row>
    <row r="455" spans="3:14" x14ac:dyDescent="0.25">
      <c r="C455" s="2">
        <v>454</v>
      </c>
      <c r="D455" s="10">
        <v>44979</v>
      </c>
      <c r="E455" s="2" t="s">
        <v>474</v>
      </c>
      <c r="F455" s="2" t="s">
        <v>20</v>
      </c>
      <c r="G455" s="2">
        <v>46</v>
      </c>
      <c r="H455" s="2" t="s">
        <v>18</v>
      </c>
      <c r="I455" s="2">
        <v>1</v>
      </c>
      <c r="J455" s="2">
        <v>25</v>
      </c>
      <c r="K455" s="2">
        <v>25</v>
      </c>
      <c r="M455" s="2">
        <v>25</v>
      </c>
      <c r="N455" t="str" cm="1">
        <f t="array" ref="N455">IF(M455=Table5[[#This Row],[Total Amount]],"Correct",Check)</f>
        <v>Correct</v>
      </c>
    </row>
    <row r="456" spans="3:14" x14ac:dyDescent="0.25">
      <c r="C456" s="2">
        <v>455</v>
      </c>
      <c r="D456" s="10">
        <v>45108</v>
      </c>
      <c r="E456" s="2" t="s">
        <v>475</v>
      </c>
      <c r="F456" s="2" t="s">
        <v>17</v>
      </c>
      <c r="G456" s="2">
        <v>31</v>
      </c>
      <c r="H456" s="2" t="s">
        <v>23</v>
      </c>
      <c r="I456" s="2">
        <v>4</v>
      </c>
      <c r="J456" s="2">
        <v>25</v>
      </c>
      <c r="K456" s="2">
        <v>100</v>
      </c>
      <c r="M456" s="2">
        <v>100</v>
      </c>
      <c r="N456" t="str" cm="1">
        <f t="array" ref="N456">IF(M456=Table5[[#This Row],[Total Amount]],"Correct",Check)</f>
        <v>Correct</v>
      </c>
    </row>
    <row r="457" spans="3:14" x14ac:dyDescent="0.25">
      <c r="C457" s="2">
        <v>456</v>
      </c>
      <c r="D457" s="10">
        <v>45213</v>
      </c>
      <c r="E457" s="2" t="s">
        <v>476</v>
      </c>
      <c r="F457" s="2" t="s">
        <v>17</v>
      </c>
      <c r="G457" s="2">
        <v>57</v>
      </c>
      <c r="H457" s="2" t="s">
        <v>23</v>
      </c>
      <c r="I457" s="2">
        <v>2</v>
      </c>
      <c r="J457" s="2">
        <v>30</v>
      </c>
      <c r="K457" s="2">
        <v>60</v>
      </c>
      <c r="M457" s="2">
        <v>60</v>
      </c>
      <c r="N457" t="str" cm="1">
        <f t="array" ref="N457">IF(M457=Table5[[#This Row],[Total Amount]],"Correct",Check)</f>
        <v>Correct</v>
      </c>
    </row>
    <row r="458" spans="3:14" x14ac:dyDescent="0.25">
      <c r="C458" s="2">
        <v>457</v>
      </c>
      <c r="D458" s="10">
        <v>45135</v>
      </c>
      <c r="E458" s="2" t="s">
        <v>477</v>
      </c>
      <c r="F458" s="2" t="s">
        <v>20</v>
      </c>
      <c r="G458" s="2">
        <v>58</v>
      </c>
      <c r="H458" s="2" t="s">
        <v>18</v>
      </c>
      <c r="I458" s="2">
        <v>3</v>
      </c>
      <c r="J458" s="2">
        <v>300</v>
      </c>
      <c r="K458" s="2">
        <v>900</v>
      </c>
      <c r="M458" s="2">
        <v>900</v>
      </c>
      <c r="N458" t="str" cm="1">
        <f t="array" ref="N458">IF(M458=Table5[[#This Row],[Total Amount]],"Correct",Check)</f>
        <v>Correct</v>
      </c>
    </row>
    <row r="459" spans="3:14" x14ac:dyDescent="0.25">
      <c r="C459" s="2">
        <v>458</v>
      </c>
      <c r="D459" s="10">
        <v>45244</v>
      </c>
      <c r="E459" s="2" t="s">
        <v>478</v>
      </c>
      <c r="F459" s="2" t="s">
        <v>20</v>
      </c>
      <c r="G459" s="2">
        <v>39</v>
      </c>
      <c r="H459" s="2" t="s">
        <v>23</v>
      </c>
      <c r="I459" s="2">
        <v>4</v>
      </c>
      <c r="J459" s="2">
        <v>25</v>
      </c>
      <c r="K459" s="2">
        <v>100</v>
      </c>
      <c r="M459" s="2">
        <v>100</v>
      </c>
      <c r="N459" t="str" cm="1">
        <f t="array" ref="N459">IF(M459=Table5[[#This Row],[Total Amount]],"Correct",Check)</f>
        <v>Correct</v>
      </c>
    </row>
    <row r="460" spans="3:14" x14ac:dyDescent="0.25">
      <c r="C460" s="2">
        <v>459</v>
      </c>
      <c r="D460" s="10">
        <v>45006</v>
      </c>
      <c r="E460" s="2" t="s">
        <v>479</v>
      </c>
      <c r="F460" s="2" t="s">
        <v>17</v>
      </c>
      <c r="G460" s="2">
        <v>28</v>
      </c>
      <c r="H460" s="2" t="s">
        <v>21</v>
      </c>
      <c r="I460" s="2">
        <v>4</v>
      </c>
      <c r="J460" s="2">
        <v>300</v>
      </c>
      <c r="K460" s="2">
        <v>1200</v>
      </c>
      <c r="M460" s="2">
        <v>1200</v>
      </c>
      <c r="N460" t="str" cm="1">
        <f t="array" ref="N460">IF(M460=Table5[[#This Row],[Total Amount]],"Correct",Check)</f>
        <v>Correct</v>
      </c>
    </row>
    <row r="461" spans="3:14" x14ac:dyDescent="0.25">
      <c r="C461" s="2">
        <v>460</v>
      </c>
      <c r="D461" s="10">
        <v>45048</v>
      </c>
      <c r="E461" s="2" t="s">
        <v>480</v>
      </c>
      <c r="F461" s="2" t="s">
        <v>17</v>
      </c>
      <c r="G461" s="2">
        <v>40</v>
      </c>
      <c r="H461" s="2" t="s">
        <v>18</v>
      </c>
      <c r="I461" s="2">
        <v>1</v>
      </c>
      <c r="J461" s="2">
        <v>50</v>
      </c>
      <c r="K461" s="2">
        <v>50</v>
      </c>
      <c r="M461" s="2">
        <v>50</v>
      </c>
      <c r="N461" t="str" cm="1">
        <f t="array" ref="N461">IF(M461=Table5[[#This Row],[Total Amount]],"Correct",Check)</f>
        <v>Correct</v>
      </c>
    </row>
    <row r="462" spans="3:14" x14ac:dyDescent="0.25">
      <c r="C462" s="2">
        <v>461</v>
      </c>
      <c r="D462" s="10">
        <v>45010</v>
      </c>
      <c r="E462" s="2" t="s">
        <v>481</v>
      </c>
      <c r="F462" s="2" t="s">
        <v>20</v>
      </c>
      <c r="G462" s="2">
        <v>18</v>
      </c>
      <c r="H462" s="2" t="s">
        <v>18</v>
      </c>
      <c r="I462" s="2">
        <v>2</v>
      </c>
      <c r="J462" s="2">
        <v>500</v>
      </c>
      <c r="K462" s="2">
        <v>1000</v>
      </c>
      <c r="M462" s="2">
        <v>1000</v>
      </c>
      <c r="N462" t="str" cm="1">
        <f t="array" ref="N462">IF(M462=Table5[[#This Row],[Total Amount]],"Correct",Check)</f>
        <v>Correct</v>
      </c>
    </row>
    <row r="463" spans="3:14" x14ac:dyDescent="0.25">
      <c r="C463" s="2">
        <v>462</v>
      </c>
      <c r="D463" s="10">
        <v>45017</v>
      </c>
      <c r="E463" s="2" t="s">
        <v>482</v>
      </c>
      <c r="F463" s="2" t="s">
        <v>17</v>
      </c>
      <c r="G463" s="2">
        <v>63</v>
      </c>
      <c r="H463" s="2" t="s">
        <v>23</v>
      </c>
      <c r="I463" s="2">
        <v>4</v>
      </c>
      <c r="J463" s="2">
        <v>300</v>
      </c>
      <c r="K463" s="2">
        <v>1200</v>
      </c>
      <c r="M463" s="2">
        <v>1200</v>
      </c>
      <c r="N463" t="str" cm="1">
        <f t="array" ref="N463">IF(M463=Table5[[#This Row],[Total Amount]],"Correct",Check)</f>
        <v>Correct</v>
      </c>
    </row>
    <row r="464" spans="3:14" x14ac:dyDescent="0.25">
      <c r="C464" s="2">
        <v>463</v>
      </c>
      <c r="D464" s="10">
        <v>45138</v>
      </c>
      <c r="E464" s="2" t="s">
        <v>483</v>
      </c>
      <c r="F464" s="2" t="s">
        <v>20</v>
      </c>
      <c r="G464" s="2">
        <v>54</v>
      </c>
      <c r="H464" s="2" t="s">
        <v>18</v>
      </c>
      <c r="I464" s="2">
        <v>3</v>
      </c>
      <c r="J464" s="2">
        <v>500</v>
      </c>
      <c r="K464" s="2">
        <v>1500</v>
      </c>
      <c r="M464" s="2">
        <v>1500</v>
      </c>
      <c r="N464" t="str" cm="1">
        <f t="array" ref="N464">IF(M464=Table5[[#This Row],[Total Amount]],"Correct",Check)</f>
        <v>Correct</v>
      </c>
    </row>
    <row r="465" spans="3:14" x14ac:dyDescent="0.25">
      <c r="C465" s="2">
        <v>464</v>
      </c>
      <c r="D465" s="10">
        <v>44939</v>
      </c>
      <c r="E465" s="2" t="s">
        <v>484</v>
      </c>
      <c r="F465" s="2" t="s">
        <v>17</v>
      </c>
      <c r="G465" s="2">
        <v>38</v>
      </c>
      <c r="H465" s="2" t="s">
        <v>23</v>
      </c>
      <c r="I465" s="2">
        <v>2</v>
      </c>
      <c r="J465" s="2">
        <v>300</v>
      </c>
      <c r="K465" s="2">
        <v>600</v>
      </c>
      <c r="M465" s="2">
        <v>600</v>
      </c>
      <c r="N465" t="str" cm="1">
        <f t="array" ref="N465">IF(M465=Table5[[#This Row],[Total Amount]],"Correct",Check)</f>
        <v>Correct</v>
      </c>
    </row>
    <row r="466" spans="3:14" x14ac:dyDescent="0.25">
      <c r="C466" s="2">
        <v>465</v>
      </c>
      <c r="D466" s="10">
        <v>45018</v>
      </c>
      <c r="E466" s="2" t="s">
        <v>485</v>
      </c>
      <c r="F466" s="2" t="s">
        <v>20</v>
      </c>
      <c r="G466" s="2">
        <v>43</v>
      </c>
      <c r="H466" s="2" t="s">
        <v>23</v>
      </c>
      <c r="I466" s="2">
        <v>3</v>
      </c>
      <c r="J466" s="2">
        <v>50</v>
      </c>
      <c r="K466" s="2">
        <v>150</v>
      </c>
      <c r="M466" s="2">
        <v>150</v>
      </c>
      <c r="N466" t="str" cm="1">
        <f t="array" ref="N466">IF(M466=Table5[[#This Row],[Total Amount]],"Correct",Check)</f>
        <v>Correct</v>
      </c>
    </row>
    <row r="467" spans="3:14" x14ac:dyDescent="0.25">
      <c r="C467" s="2">
        <v>466</v>
      </c>
      <c r="D467" s="10">
        <v>45097</v>
      </c>
      <c r="E467" s="2" t="s">
        <v>486</v>
      </c>
      <c r="F467" s="2" t="s">
        <v>17</v>
      </c>
      <c r="G467" s="2">
        <v>63</v>
      </c>
      <c r="H467" s="2" t="s">
        <v>23</v>
      </c>
      <c r="I467" s="2">
        <v>4</v>
      </c>
      <c r="J467" s="2">
        <v>25</v>
      </c>
      <c r="K467" s="2">
        <v>100</v>
      </c>
      <c r="M467" s="2">
        <v>100</v>
      </c>
      <c r="N467" t="str" cm="1">
        <f t="array" ref="N467">IF(M467=Table5[[#This Row],[Total Amount]],"Correct",Check)</f>
        <v>Correct</v>
      </c>
    </row>
    <row r="468" spans="3:14" x14ac:dyDescent="0.25">
      <c r="C468" s="2">
        <v>467</v>
      </c>
      <c r="D468" s="10">
        <v>45137</v>
      </c>
      <c r="E468" s="2" t="s">
        <v>487</v>
      </c>
      <c r="F468" s="2" t="s">
        <v>20</v>
      </c>
      <c r="G468" s="2">
        <v>53</v>
      </c>
      <c r="H468" s="2" t="s">
        <v>23</v>
      </c>
      <c r="I468" s="2">
        <v>3</v>
      </c>
      <c r="J468" s="2">
        <v>50</v>
      </c>
      <c r="K468" s="2">
        <v>150</v>
      </c>
      <c r="M468" s="2">
        <v>150</v>
      </c>
      <c r="N468" t="str" cm="1">
        <f t="array" ref="N468">IF(M468=Table5[[#This Row],[Total Amount]],"Correct",Check)</f>
        <v>Correct</v>
      </c>
    </row>
    <row r="469" spans="3:14" x14ac:dyDescent="0.25">
      <c r="C469" s="2">
        <v>468</v>
      </c>
      <c r="D469" s="10">
        <v>45269</v>
      </c>
      <c r="E469" s="2" t="s">
        <v>488</v>
      </c>
      <c r="F469" s="2" t="s">
        <v>17</v>
      </c>
      <c r="G469" s="2">
        <v>40</v>
      </c>
      <c r="H469" s="2" t="s">
        <v>23</v>
      </c>
      <c r="I469" s="2">
        <v>1</v>
      </c>
      <c r="J469" s="2">
        <v>25</v>
      </c>
      <c r="K469" s="2">
        <v>25</v>
      </c>
      <c r="M469" s="2">
        <v>25</v>
      </c>
      <c r="N469" t="str" cm="1">
        <f t="array" ref="N469">IF(M469=Table5[[#This Row],[Total Amount]],"Correct",Check)</f>
        <v>Correct</v>
      </c>
    </row>
    <row r="470" spans="3:14" x14ac:dyDescent="0.25">
      <c r="C470" s="2">
        <v>469</v>
      </c>
      <c r="D470" s="10">
        <v>45054</v>
      </c>
      <c r="E470" s="2" t="s">
        <v>489</v>
      </c>
      <c r="F470" s="2" t="s">
        <v>17</v>
      </c>
      <c r="G470" s="2">
        <v>18</v>
      </c>
      <c r="H470" s="2" t="s">
        <v>18</v>
      </c>
      <c r="I470" s="2">
        <v>3</v>
      </c>
      <c r="J470" s="2">
        <v>25</v>
      </c>
      <c r="K470" s="2">
        <v>75</v>
      </c>
      <c r="M470" s="2">
        <v>75</v>
      </c>
      <c r="N470" t="str" cm="1">
        <f t="array" ref="N470">IF(M470=Table5[[#This Row],[Total Amount]],"Correct",Check)</f>
        <v>Correct</v>
      </c>
    </row>
    <row r="471" spans="3:14" x14ac:dyDescent="0.25">
      <c r="C471" s="2">
        <v>470</v>
      </c>
      <c r="D471" s="10">
        <v>45063</v>
      </c>
      <c r="E471" s="2" t="s">
        <v>490</v>
      </c>
      <c r="F471" s="2" t="s">
        <v>20</v>
      </c>
      <c r="G471" s="2">
        <v>57</v>
      </c>
      <c r="H471" s="2" t="s">
        <v>21</v>
      </c>
      <c r="I471" s="2">
        <v>2</v>
      </c>
      <c r="J471" s="2">
        <v>500</v>
      </c>
      <c r="K471" s="2">
        <v>1000</v>
      </c>
      <c r="M471" s="2">
        <v>1000</v>
      </c>
      <c r="N471" t="str" cm="1">
        <f t="array" ref="N471">IF(M471=Table5[[#This Row],[Total Amount]],"Correct",Check)</f>
        <v>Correct</v>
      </c>
    </row>
    <row r="472" spans="3:14" x14ac:dyDescent="0.25">
      <c r="C472" s="2">
        <v>471</v>
      </c>
      <c r="D472" s="10">
        <v>45008</v>
      </c>
      <c r="E472" s="2" t="s">
        <v>491</v>
      </c>
      <c r="F472" s="2" t="s">
        <v>17</v>
      </c>
      <c r="G472" s="2">
        <v>32</v>
      </c>
      <c r="H472" s="2" t="s">
        <v>21</v>
      </c>
      <c r="I472" s="2">
        <v>3</v>
      </c>
      <c r="J472" s="2">
        <v>50</v>
      </c>
      <c r="K472" s="2">
        <v>150</v>
      </c>
      <c r="M472" s="2">
        <v>150</v>
      </c>
      <c r="N472" t="str" cm="1">
        <f t="array" ref="N472">IF(M472=Table5[[#This Row],[Total Amount]],"Correct",Check)</f>
        <v>Correct</v>
      </c>
    </row>
    <row r="473" spans="3:14" x14ac:dyDescent="0.25">
      <c r="C473" s="2">
        <v>472</v>
      </c>
      <c r="D473" s="10">
        <v>45286</v>
      </c>
      <c r="E473" s="2" t="s">
        <v>492</v>
      </c>
      <c r="F473" s="2" t="s">
        <v>20</v>
      </c>
      <c r="G473" s="2">
        <v>38</v>
      </c>
      <c r="H473" s="2" t="s">
        <v>18</v>
      </c>
      <c r="I473" s="2">
        <v>3</v>
      </c>
      <c r="J473" s="2">
        <v>300</v>
      </c>
      <c r="K473" s="2">
        <v>900</v>
      </c>
      <c r="M473" s="2">
        <v>900</v>
      </c>
      <c r="N473" t="str" cm="1">
        <f t="array" ref="N473">IF(M473=Table5[[#This Row],[Total Amount]],"Correct",Check)</f>
        <v>Correct</v>
      </c>
    </row>
    <row r="474" spans="3:14" x14ac:dyDescent="0.25">
      <c r="C474" s="2">
        <v>473</v>
      </c>
      <c r="D474" s="10">
        <v>44982</v>
      </c>
      <c r="E474" s="2" t="s">
        <v>493</v>
      </c>
      <c r="F474" s="2" t="s">
        <v>17</v>
      </c>
      <c r="G474" s="2">
        <v>64</v>
      </c>
      <c r="H474" s="2" t="s">
        <v>18</v>
      </c>
      <c r="I474" s="2">
        <v>1</v>
      </c>
      <c r="J474" s="2">
        <v>50</v>
      </c>
      <c r="K474" s="2">
        <v>50</v>
      </c>
      <c r="M474" s="2">
        <v>50</v>
      </c>
      <c r="N474" t="str" cm="1">
        <f t="array" ref="N474">IF(M474=Table5[[#This Row],[Total Amount]],"Correct",Check)</f>
        <v>Correct</v>
      </c>
    </row>
    <row r="475" spans="3:14" x14ac:dyDescent="0.25">
      <c r="C475" s="2">
        <v>474</v>
      </c>
      <c r="D475" s="10">
        <v>45122</v>
      </c>
      <c r="E475" s="2" t="s">
        <v>494</v>
      </c>
      <c r="F475" s="2" t="s">
        <v>20</v>
      </c>
      <c r="G475" s="2">
        <v>26</v>
      </c>
      <c r="H475" s="2" t="s">
        <v>21</v>
      </c>
      <c r="I475" s="2">
        <v>3</v>
      </c>
      <c r="J475" s="2">
        <v>500</v>
      </c>
      <c r="K475" s="2">
        <v>1500</v>
      </c>
      <c r="M475" s="2">
        <v>1500</v>
      </c>
      <c r="N475" t="str" cm="1">
        <f t="array" ref="N475">IF(M475=Table5[[#This Row],[Total Amount]],"Correct",Check)</f>
        <v>Correct</v>
      </c>
    </row>
    <row r="476" spans="3:14" x14ac:dyDescent="0.25">
      <c r="C476" s="2">
        <v>475</v>
      </c>
      <c r="D476" s="10">
        <v>44946</v>
      </c>
      <c r="E476" s="2" t="s">
        <v>495</v>
      </c>
      <c r="F476" s="2" t="s">
        <v>17</v>
      </c>
      <c r="G476" s="2">
        <v>26</v>
      </c>
      <c r="H476" s="2" t="s">
        <v>21</v>
      </c>
      <c r="I476" s="2">
        <v>3</v>
      </c>
      <c r="J476" s="2">
        <v>25</v>
      </c>
      <c r="K476" s="2">
        <v>75</v>
      </c>
      <c r="M476" s="2">
        <v>75</v>
      </c>
      <c r="N476" t="str" cm="1">
        <f t="array" ref="N476">IF(M476=Table5[[#This Row],[Total Amount]],"Correct",Check)</f>
        <v>Correct</v>
      </c>
    </row>
    <row r="477" spans="3:14" x14ac:dyDescent="0.25">
      <c r="C477" s="2">
        <v>476</v>
      </c>
      <c r="D477" s="10">
        <v>45167</v>
      </c>
      <c r="E477" s="2" t="s">
        <v>496</v>
      </c>
      <c r="F477" s="2" t="s">
        <v>20</v>
      </c>
      <c r="G477" s="2">
        <v>27</v>
      </c>
      <c r="H477" s="2" t="s">
        <v>21</v>
      </c>
      <c r="I477" s="2">
        <v>4</v>
      </c>
      <c r="J477" s="2">
        <v>500</v>
      </c>
      <c r="K477" s="2">
        <v>2000</v>
      </c>
      <c r="M477" s="2">
        <v>2000</v>
      </c>
      <c r="N477" t="str" cm="1">
        <f t="array" ref="N477">IF(M477=Table5[[#This Row],[Total Amount]],"Correct",Check)</f>
        <v>Correct</v>
      </c>
    </row>
    <row r="478" spans="3:14" x14ac:dyDescent="0.25">
      <c r="C478" s="2">
        <v>477</v>
      </c>
      <c r="D478" s="10">
        <v>45040</v>
      </c>
      <c r="E478" s="2" t="s">
        <v>497</v>
      </c>
      <c r="F478" s="2" t="s">
        <v>17</v>
      </c>
      <c r="G478" s="2">
        <v>43</v>
      </c>
      <c r="H478" s="2" t="s">
        <v>21</v>
      </c>
      <c r="I478" s="2">
        <v>4</v>
      </c>
      <c r="J478" s="2">
        <v>30</v>
      </c>
      <c r="K478" s="2">
        <v>120</v>
      </c>
      <c r="M478" s="2">
        <v>120</v>
      </c>
      <c r="N478" t="str" cm="1">
        <f t="array" ref="N478">IF(M478=Table5[[#This Row],[Total Amount]],"Correct",Check)</f>
        <v>Correct</v>
      </c>
    </row>
    <row r="479" spans="3:14" x14ac:dyDescent="0.25">
      <c r="C479" s="2">
        <v>478</v>
      </c>
      <c r="D479" s="10">
        <v>45029</v>
      </c>
      <c r="E479" s="2" t="s">
        <v>498</v>
      </c>
      <c r="F479" s="2" t="s">
        <v>20</v>
      </c>
      <c r="G479" s="2">
        <v>58</v>
      </c>
      <c r="H479" s="2" t="s">
        <v>21</v>
      </c>
      <c r="I479" s="2">
        <v>2</v>
      </c>
      <c r="J479" s="2">
        <v>30</v>
      </c>
      <c r="K479" s="2">
        <v>60</v>
      </c>
      <c r="M479" s="2">
        <v>60</v>
      </c>
      <c r="N479" t="str" cm="1">
        <f t="array" ref="N479">IF(M479=Table5[[#This Row],[Total Amount]],"Correct",Check)</f>
        <v>Correct</v>
      </c>
    </row>
    <row r="480" spans="3:14" x14ac:dyDescent="0.25">
      <c r="C480" s="2">
        <v>479</v>
      </c>
      <c r="D480" s="10">
        <v>45162</v>
      </c>
      <c r="E480" s="2" t="s">
        <v>499</v>
      </c>
      <c r="F480" s="2" t="s">
        <v>17</v>
      </c>
      <c r="G480" s="2">
        <v>52</v>
      </c>
      <c r="H480" s="2" t="s">
        <v>23</v>
      </c>
      <c r="I480" s="2">
        <v>4</v>
      </c>
      <c r="J480" s="2">
        <v>300</v>
      </c>
      <c r="K480" s="2">
        <v>1200</v>
      </c>
      <c r="M480" s="2">
        <v>1200</v>
      </c>
      <c r="N480" t="str" cm="1">
        <f t="array" ref="N480">IF(M480=Table5[[#This Row],[Total Amount]],"Correct",Check)</f>
        <v>Correct</v>
      </c>
    </row>
    <row r="481" spans="3:14" x14ac:dyDescent="0.25">
      <c r="C481" s="2">
        <v>480</v>
      </c>
      <c r="D481" s="10">
        <v>45106</v>
      </c>
      <c r="E481" s="2" t="s">
        <v>500</v>
      </c>
      <c r="F481" s="2" t="s">
        <v>20</v>
      </c>
      <c r="G481" s="2">
        <v>42</v>
      </c>
      <c r="H481" s="2" t="s">
        <v>18</v>
      </c>
      <c r="I481" s="2">
        <v>4</v>
      </c>
      <c r="J481" s="2">
        <v>500</v>
      </c>
      <c r="K481" s="2">
        <v>2000</v>
      </c>
      <c r="M481" s="2">
        <v>2000</v>
      </c>
      <c r="N481" t="str" cm="1">
        <f t="array" ref="N481">IF(M481=Table5[[#This Row],[Total Amount]],"Correct",Check)</f>
        <v>Correct</v>
      </c>
    </row>
    <row r="482" spans="3:14" x14ac:dyDescent="0.25">
      <c r="C482" s="2">
        <v>481</v>
      </c>
      <c r="D482" s="10">
        <v>45083</v>
      </c>
      <c r="E482" s="2" t="s">
        <v>501</v>
      </c>
      <c r="F482" s="2" t="s">
        <v>20</v>
      </c>
      <c r="G482" s="2">
        <v>43</v>
      </c>
      <c r="H482" s="2" t="s">
        <v>23</v>
      </c>
      <c r="I482" s="2">
        <v>4</v>
      </c>
      <c r="J482" s="2">
        <v>300</v>
      </c>
      <c r="K482" s="2">
        <v>1200</v>
      </c>
      <c r="M482" s="2">
        <v>1200</v>
      </c>
      <c r="N482" t="str" cm="1">
        <f t="array" ref="N482">IF(M482=Table5[[#This Row],[Total Amount]],"Correct",Check)</f>
        <v>Correct</v>
      </c>
    </row>
    <row r="483" spans="3:14" x14ac:dyDescent="0.25">
      <c r="C483" s="2">
        <v>482</v>
      </c>
      <c r="D483" s="10">
        <v>45043</v>
      </c>
      <c r="E483" s="2" t="s">
        <v>502</v>
      </c>
      <c r="F483" s="2" t="s">
        <v>20</v>
      </c>
      <c r="G483" s="2">
        <v>28</v>
      </c>
      <c r="H483" s="2" t="s">
        <v>21</v>
      </c>
      <c r="I483" s="2">
        <v>4</v>
      </c>
      <c r="J483" s="2">
        <v>300</v>
      </c>
      <c r="K483" s="2">
        <v>1200</v>
      </c>
      <c r="M483" s="2">
        <v>1200</v>
      </c>
      <c r="N483" t="str" cm="1">
        <f t="array" ref="N483">IF(M483=Table5[[#This Row],[Total Amount]],"Correct",Check)</f>
        <v>Correct</v>
      </c>
    </row>
    <row r="484" spans="3:14" x14ac:dyDescent="0.25">
      <c r="C484" s="2">
        <v>483</v>
      </c>
      <c r="D484" s="10">
        <v>45041</v>
      </c>
      <c r="E484" s="2" t="s">
        <v>503</v>
      </c>
      <c r="F484" s="2" t="s">
        <v>17</v>
      </c>
      <c r="G484" s="2">
        <v>55</v>
      </c>
      <c r="H484" s="2" t="s">
        <v>21</v>
      </c>
      <c r="I484" s="2">
        <v>1</v>
      </c>
      <c r="J484" s="2">
        <v>30</v>
      </c>
      <c r="K484" s="2">
        <v>30</v>
      </c>
      <c r="M484" s="2">
        <v>30</v>
      </c>
      <c r="N484" t="str" cm="1">
        <f t="array" ref="N484">IF(M484=Table5[[#This Row],[Total Amount]],"Correct",Check)</f>
        <v>Correct</v>
      </c>
    </row>
    <row r="485" spans="3:14" x14ac:dyDescent="0.25">
      <c r="C485" s="2">
        <v>484</v>
      </c>
      <c r="D485" s="10">
        <v>44939</v>
      </c>
      <c r="E485" s="2" t="s">
        <v>504</v>
      </c>
      <c r="F485" s="2" t="s">
        <v>20</v>
      </c>
      <c r="G485" s="2">
        <v>19</v>
      </c>
      <c r="H485" s="2" t="s">
        <v>21</v>
      </c>
      <c r="I485" s="2">
        <v>4</v>
      </c>
      <c r="J485" s="2">
        <v>300</v>
      </c>
      <c r="K485" s="2">
        <v>1200</v>
      </c>
      <c r="M485" s="2">
        <v>1200</v>
      </c>
      <c r="N485" t="str" cm="1">
        <f t="array" ref="N485">IF(M485=Table5[[#This Row],[Total Amount]],"Correct",Check)</f>
        <v>Correct</v>
      </c>
    </row>
    <row r="486" spans="3:14" x14ac:dyDescent="0.25">
      <c r="C486" s="2">
        <v>485</v>
      </c>
      <c r="D486" s="10">
        <v>45264</v>
      </c>
      <c r="E486" s="2" t="s">
        <v>505</v>
      </c>
      <c r="F486" s="2" t="s">
        <v>17</v>
      </c>
      <c r="G486" s="2">
        <v>24</v>
      </c>
      <c r="H486" s="2" t="s">
        <v>23</v>
      </c>
      <c r="I486" s="2">
        <v>1</v>
      </c>
      <c r="J486" s="2">
        <v>30</v>
      </c>
      <c r="K486" s="2">
        <v>30</v>
      </c>
      <c r="M486" s="2">
        <v>30</v>
      </c>
      <c r="N486" t="str" cm="1">
        <f t="array" ref="N486">IF(M486=Table5[[#This Row],[Total Amount]],"Correct",Check)</f>
        <v>Correct</v>
      </c>
    </row>
    <row r="487" spans="3:14" x14ac:dyDescent="0.25">
      <c r="C487" s="2">
        <v>486</v>
      </c>
      <c r="D487" s="10">
        <v>45025</v>
      </c>
      <c r="E487" s="2" t="s">
        <v>506</v>
      </c>
      <c r="F487" s="2" t="s">
        <v>20</v>
      </c>
      <c r="G487" s="2">
        <v>35</v>
      </c>
      <c r="H487" s="2" t="s">
        <v>23</v>
      </c>
      <c r="I487" s="2">
        <v>1</v>
      </c>
      <c r="J487" s="2">
        <v>25</v>
      </c>
      <c r="K487" s="2">
        <v>25</v>
      </c>
      <c r="M487" s="2">
        <v>25</v>
      </c>
      <c r="N487" t="str" cm="1">
        <f t="array" ref="N487">IF(M487=Table5[[#This Row],[Total Amount]],"Correct",Check)</f>
        <v>Correct</v>
      </c>
    </row>
    <row r="488" spans="3:14" x14ac:dyDescent="0.25">
      <c r="C488" s="2">
        <v>487</v>
      </c>
      <c r="D488" s="10">
        <v>45131</v>
      </c>
      <c r="E488" s="2" t="s">
        <v>507</v>
      </c>
      <c r="F488" s="2" t="s">
        <v>17</v>
      </c>
      <c r="G488" s="2">
        <v>44</v>
      </c>
      <c r="H488" s="2" t="s">
        <v>21</v>
      </c>
      <c r="I488" s="2">
        <v>4</v>
      </c>
      <c r="J488" s="2">
        <v>500</v>
      </c>
      <c r="K488" s="2">
        <v>2000</v>
      </c>
      <c r="M488" s="2">
        <v>2000</v>
      </c>
      <c r="N488" t="str" cm="1">
        <f t="array" ref="N488">IF(M488=Table5[[#This Row],[Total Amount]],"Correct",Check)</f>
        <v>Correct</v>
      </c>
    </row>
    <row r="489" spans="3:14" x14ac:dyDescent="0.25">
      <c r="C489" s="2">
        <v>488</v>
      </c>
      <c r="D489" s="10">
        <v>45095</v>
      </c>
      <c r="E489" s="2" t="s">
        <v>508</v>
      </c>
      <c r="F489" s="2" t="s">
        <v>20</v>
      </c>
      <c r="G489" s="2">
        <v>51</v>
      </c>
      <c r="H489" s="2" t="s">
        <v>23</v>
      </c>
      <c r="I489" s="2">
        <v>3</v>
      </c>
      <c r="J489" s="2">
        <v>300</v>
      </c>
      <c r="K489" s="2">
        <v>900</v>
      </c>
      <c r="M489" s="2">
        <v>900</v>
      </c>
      <c r="N489" t="str" cm="1">
        <f t="array" ref="N489">IF(M489=Table5[[#This Row],[Total Amount]],"Correct",Check)</f>
        <v>Correct</v>
      </c>
    </row>
    <row r="490" spans="3:14" x14ac:dyDescent="0.25">
      <c r="C490" s="2">
        <v>489</v>
      </c>
      <c r="D490" s="10">
        <v>45069</v>
      </c>
      <c r="E490" s="2" t="s">
        <v>509</v>
      </c>
      <c r="F490" s="2" t="s">
        <v>17</v>
      </c>
      <c r="G490" s="2">
        <v>44</v>
      </c>
      <c r="H490" s="2" t="s">
        <v>23</v>
      </c>
      <c r="I490" s="2">
        <v>1</v>
      </c>
      <c r="J490" s="2">
        <v>30</v>
      </c>
      <c r="K490" s="2">
        <v>30</v>
      </c>
      <c r="M490" s="2">
        <v>30</v>
      </c>
      <c r="N490" t="str" cm="1">
        <f t="array" ref="N490">IF(M490=Table5[[#This Row],[Total Amount]],"Correct",Check)</f>
        <v>Correct</v>
      </c>
    </row>
    <row r="491" spans="3:14" x14ac:dyDescent="0.25">
      <c r="C491" s="2">
        <v>490</v>
      </c>
      <c r="D491" s="10">
        <v>44962</v>
      </c>
      <c r="E491" s="2" t="s">
        <v>510</v>
      </c>
      <c r="F491" s="2" t="s">
        <v>17</v>
      </c>
      <c r="G491" s="2">
        <v>34</v>
      </c>
      <c r="H491" s="2" t="s">
        <v>21</v>
      </c>
      <c r="I491" s="2">
        <v>3</v>
      </c>
      <c r="J491" s="2">
        <v>50</v>
      </c>
      <c r="K491" s="2">
        <v>150</v>
      </c>
      <c r="M491" s="2">
        <v>150</v>
      </c>
      <c r="N491" t="str" cm="1">
        <f t="array" ref="N491">IF(M491=Table5[[#This Row],[Total Amount]],"Correct",Check)</f>
        <v>Correct</v>
      </c>
    </row>
    <row r="492" spans="3:14" x14ac:dyDescent="0.25">
      <c r="C492" s="2">
        <v>491</v>
      </c>
      <c r="D492" s="10">
        <v>45069</v>
      </c>
      <c r="E492" s="2" t="s">
        <v>511</v>
      </c>
      <c r="F492" s="2" t="s">
        <v>20</v>
      </c>
      <c r="G492" s="2">
        <v>60</v>
      </c>
      <c r="H492" s="2" t="s">
        <v>23</v>
      </c>
      <c r="I492" s="2">
        <v>3</v>
      </c>
      <c r="J492" s="2">
        <v>300</v>
      </c>
      <c r="K492" s="2">
        <v>900</v>
      </c>
      <c r="M492" s="2">
        <v>900</v>
      </c>
      <c r="N492" t="str" cm="1">
        <f t="array" ref="N492">IF(M492=Table5[[#This Row],[Total Amount]],"Correct",Check)</f>
        <v>Correct</v>
      </c>
    </row>
    <row r="493" spans="3:14" x14ac:dyDescent="0.25">
      <c r="C493" s="2">
        <v>492</v>
      </c>
      <c r="D493" s="10">
        <v>45106</v>
      </c>
      <c r="E493" s="2" t="s">
        <v>512</v>
      </c>
      <c r="F493" s="2" t="s">
        <v>17</v>
      </c>
      <c r="G493" s="2">
        <v>61</v>
      </c>
      <c r="H493" s="2" t="s">
        <v>18</v>
      </c>
      <c r="I493" s="2">
        <v>4</v>
      </c>
      <c r="J493" s="2">
        <v>25</v>
      </c>
      <c r="K493" s="2">
        <v>100</v>
      </c>
      <c r="M493" s="2">
        <v>100</v>
      </c>
      <c r="N493" t="str" cm="1">
        <f t="array" ref="N493">IF(M493=Table5[[#This Row],[Total Amount]],"Correct",Check)</f>
        <v>Correct</v>
      </c>
    </row>
    <row r="494" spans="3:14" x14ac:dyDescent="0.25">
      <c r="C494" s="2">
        <v>493</v>
      </c>
      <c r="D494" s="10">
        <v>45255</v>
      </c>
      <c r="E494" s="2" t="s">
        <v>513</v>
      </c>
      <c r="F494" s="2" t="s">
        <v>17</v>
      </c>
      <c r="G494" s="2">
        <v>41</v>
      </c>
      <c r="H494" s="2" t="s">
        <v>18</v>
      </c>
      <c r="I494" s="2">
        <v>2</v>
      </c>
      <c r="J494" s="2">
        <v>25</v>
      </c>
      <c r="K494" s="2">
        <v>50</v>
      </c>
      <c r="M494" s="2">
        <v>50</v>
      </c>
      <c r="N494" t="str" cm="1">
        <f t="array" ref="N494">IF(M494=Table5[[#This Row],[Total Amount]],"Correct",Check)</f>
        <v>Correct</v>
      </c>
    </row>
    <row r="495" spans="3:14" x14ac:dyDescent="0.25">
      <c r="C495" s="2">
        <v>494</v>
      </c>
      <c r="D495" s="10">
        <v>45187</v>
      </c>
      <c r="E495" s="2" t="s">
        <v>514</v>
      </c>
      <c r="F495" s="2" t="s">
        <v>20</v>
      </c>
      <c r="G495" s="2">
        <v>42</v>
      </c>
      <c r="H495" s="2" t="s">
        <v>18</v>
      </c>
      <c r="I495" s="2">
        <v>4</v>
      </c>
      <c r="J495" s="2">
        <v>50</v>
      </c>
      <c r="K495" s="2">
        <v>200</v>
      </c>
      <c r="M495" s="2">
        <v>200</v>
      </c>
      <c r="N495" t="str" cm="1">
        <f t="array" ref="N495">IF(M495=Table5[[#This Row],[Total Amount]],"Correct",Check)</f>
        <v>Correct</v>
      </c>
    </row>
    <row r="496" spans="3:14" x14ac:dyDescent="0.25">
      <c r="C496" s="2">
        <v>495</v>
      </c>
      <c r="D496" s="10">
        <v>45131</v>
      </c>
      <c r="E496" s="2" t="s">
        <v>515</v>
      </c>
      <c r="F496" s="2" t="s">
        <v>17</v>
      </c>
      <c r="G496" s="2">
        <v>24</v>
      </c>
      <c r="H496" s="2" t="s">
        <v>18</v>
      </c>
      <c r="I496" s="2">
        <v>2</v>
      </c>
      <c r="J496" s="2">
        <v>30</v>
      </c>
      <c r="K496" s="2">
        <v>60</v>
      </c>
      <c r="M496" s="2">
        <v>60</v>
      </c>
      <c r="N496" t="str" cm="1">
        <f t="array" ref="N496">IF(M496=Table5[[#This Row],[Total Amount]],"Correct",Check)</f>
        <v>Correct</v>
      </c>
    </row>
    <row r="497" spans="3:14" x14ac:dyDescent="0.25">
      <c r="C497" s="2">
        <v>496</v>
      </c>
      <c r="D497" s="10">
        <v>45274</v>
      </c>
      <c r="E497" s="2" t="s">
        <v>516</v>
      </c>
      <c r="F497" s="2" t="s">
        <v>17</v>
      </c>
      <c r="G497" s="2">
        <v>23</v>
      </c>
      <c r="H497" s="2" t="s">
        <v>21</v>
      </c>
      <c r="I497" s="2">
        <v>2</v>
      </c>
      <c r="J497" s="2">
        <v>300</v>
      </c>
      <c r="K497" s="2">
        <v>600</v>
      </c>
      <c r="M497" s="2">
        <v>600</v>
      </c>
      <c r="N497" t="str" cm="1">
        <f t="array" ref="N497">IF(M497=Table5[[#This Row],[Total Amount]],"Correct",Check)</f>
        <v>Correct</v>
      </c>
    </row>
    <row r="498" spans="3:14" x14ac:dyDescent="0.25">
      <c r="C498" s="2">
        <v>497</v>
      </c>
      <c r="D498" s="10">
        <v>45201</v>
      </c>
      <c r="E498" s="2" t="s">
        <v>517</v>
      </c>
      <c r="F498" s="2" t="s">
        <v>17</v>
      </c>
      <c r="G498" s="2">
        <v>41</v>
      </c>
      <c r="H498" s="2" t="s">
        <v>21</v>
      </c>
      <c r="I498" s="2">
        <v>4</v>
      </c>
      <c r="J498" s="2">
        <v>30</v>
      </c>
      <c r="K498" s="2">
        <v>120</v>
      </c>
      <c r="M498" s="2">
        <v>120</v>
      </c>
      <c r="N498" t="str" cm="1">
        <f t="array" ref="N498">IF(M498=Table5[[#This Row],[Total Amount]],"Correct",Check)</f>
        <v>Correct</v>
      </c>
    </row>
    <row r="499" spans="3:14" x14ac:dyDescent="0.25">
      <c r="C499" s="2">
        <v>498</v>
      </c>
      <c r="D499" s="10">
        <v>45096</v>
      </c>
      <c r="E499" s="2" t="s">
        <v>518</v>
      </c>
      <c r="F499" s="2" t="s">
        <v>20</v>
      </c>
      <c r="G499" s="2">
        <v>50</v>
      </c>
      <c r="H499" s="2" t="s">
        <v>21</v>
      </c>
      <c r="I499" s="2">
        <v>4</v>
      </c>
      <c r="J499" s="2">
        <v>25</v>
      </c>
      <c r="K499" s="2">
        <v>100</v>
      </c>
      <c r="M499" s="2">
        <v>100</v>
      </c>
      <c r="N499" t="str" cm="1">
        <f t="array" ref="N499">IF(M499=Table5[[#This Row],[Total Amount]],"Correct",Check)</f>
        <v>Correct</v>
      </c>
    </row>
    <row r="500" spans="3:14" x14ac:dyDescent="0.25">
      <c r="C500" s="2">
        <v>499</v>
      </c>
      <c r="D500" s="10">
        <v>44941</v>
      </c>
      <c r="E500" s="2" t="s">
        <v>519</v>
      </c>
      <c r="F500" s="2" t="s">
        <v>17</v>
      </c>
      <c r="G500" s="2">
        <v>46</v>
      </c>
      <c r="H500" s="2" t="s">
        <v>18</v>
      </c>
      <c r="I500" s="2">
        <v>2</v>
      </c>
      <c r="J500" s="2">
        <v>30</v>
      </c>
      <c r="K500" s="2">
        <v>60</v>
      </c>
      <c r="M500" s="2">
        <v>60</v>
      </c>
      <c r="N500" t="str" cm="1">
        <f t="array" ref="N500">IF(M500=Table5[[#This Row],[Total Amount]],"Correct",Check)</f>
        <v>Correct</v>
      </c>
    </row>
    <row r="501" spans="3:14" x14ac:dyDescent="0.25">
      <c r="C501" s="2">
        <v>500</v>
      </c>
      <c r="D501" s="10">
        <v>44986</v>
      </c>
      <c r="E501" s="2" t="s">
        <v>520</v>
      </c>
      <c r="F501" s="2" t="s">
        <v>20</v>
      </c>
      <c r="G501" s="2">
        <v>60</v>
      </c>
      <c r="H501" s="2" t="s">
        <v>18</v>
      </c>
      <c r="I501" s="2">
        <v>4</v>
      </c>
      <c r="J501" s="2">
        <v>25</v>
      </c>
      <c r="K501" s="2">
        <v>100</v>
      </c>
      <c r="M501" s="2">
        <v>100</v>
      </c>
      <c r="N501" t="str" cm="1">
        <f t="array" ref="N501">IF(M501=Table5[[#This Row],[Total Amount]],"Correct",Check)</f>
        <v>Correct</v>
      </c>
    </row>
    <row r="502" spans="3:14" x14ac:dyDescent="0.25">
      <c r="C502" s="2">
        <v>501</v>
      </c>
      <c r="D502" s="10">
        <v>45060</v>
      </c>
      <c r="E502" s="2" t="s">
        <v>521</v>
      </c>
      <c r="F502" s="2" t="s">
        <v>17</v>
      </c>
      <c r="G502" s="2">
        <v>39</v>
      </c>
      <c r="H502" s="2" t="s">
        <v>23</v>
      </c>
      <c r="I502" s="2">
        <v>2</v>
      </c>
      <c r="J502" s="2">
        <v>30</v>
      </c>
      <c r="K502" s="2">
        <v>60</v>
      </c>
      <c r="M502" s="2">
        <v>60</v>
      </c>
      <c r="N502" t="str" cm="1">
        <f t="array" ref="N502">IF(M502=Table5[[#This Row],[Total Amount]],"Correct",Check)</f>
        <v>Correct</v>
      </c>
    </row>
    <row r="503" spans="3:14" x14ac:dyDescent="0.25">
      <c r="C503" s="2">
        <v>502</v>
      </c>
      <c r="D503" s="10">
        <v>45018</v>
      </c>
      <c r="E503" s="2" t="s">
        <v>522</v>
      </c>
      <c r="F503" s="2" t="s">
        <v>17</v>
      </c>
      <c r="G503" s="2">
        <v>43</v>
      </c>
      <c r="H503" s="2" t="s">
        <v>23</v>
      </c>
      <c r="I503" s="2">
        <v>3</v>
      </c>
      <c r="J503" s="2">
        <v>50</v>
      </c>
      <c r="K503" s="2">
        <v>150</v>
      </c>
      <c r="M503" s="2">
        <v>150</v>
      </c>
      <c r="N503" t="str" cm="1">
        <f t="array" ref="N503">IF(M503=Table5[[#This Row],[Total Amount]],"Correct",Check)</f>
        <v>Correct</v>
      </c>
    </row>
    <row r="504" spans="3:14" x14ac:dyDescent="0.25">
      <c r="C504" s="2">
        <v>503</v>
      </c>
      <c r="D504" s="10">
        <v>45224</v>
      </c>
      <c r="E504" s="2" t="s">
        <v>523</v>
      </c>
      <c r="F504" s="2" t="s">
        <v>17</v>
      </c>
      <c r="G504" s="2">
        <v>45</v>
      </c>
      <c r="H504" s="2" t="s">
        <v>18</v>
      </c>
      <c r="I504" s="2">
        <v>4</v>
      </c>
      <c r="J504" s="2">
        <v>500</v>
      </c>
      <c r="K504" s="2">
        <v>2000</v>
      </c>
      <c r="M504" s="2">
        <v>2000</v>
      </c>
      <c r="N504" t="str" cm="1">
        <f t="array" ref="N504">IF(M504=Table5[[#This Row],[Total Amount]],"Correct",Check)</f>
        <v>Correct</v>
      </c>
    </row>
    <row r="505" spans="3:14" x14ac:dyDescent="0.25">
      <c r="C505" s="2">
        <v>504</v>
      </c>
      <c r="D505" s="10">
        <v>45062</v>
      </c>
      <c r="E505" s="2" t="s">
        <v>524</v>
      </c>
      <c r="F505" s="2" t="s">
        <v>20</v>
      </c>
      <c r="G505" s="2">
        <v>38</v>
      </c>
      <c r="H505" s="2" t="s">
        <v>18</v>
      </c>
      <c r="I505" s="2">
        <v>3</v>
      </c>
      <c r="J505" s="2">
        <v>50</v>
      </c>
      <c r="K505" s="2">
        <v>150</v>
      </c>
      <c r="M505" s="2">
        <v>150</v>
      </c>
      <c r="N505" t="str" cm="1">
        <f t="array" ref="N505">IF(M505=Table5[[#This Row],[Total Amount]],"Correct",Check)</f>
        <v>Correct</v>
      </c>
    </row>
    <row r="506" spans="3:14" x14ac:dyDescent="0.25">
      <c r="C506" s="2">
        <v>505</v>
      </c>
      <c r="D506" s="10">
        <v>44946</v>
      </c>
      <c r="E506" s="2" t="s">
        <v>525</v>
      </c>
      <c r="F506" s="2" t="s">
        <v>17</v>
      </c>
      <c r="G506" s="2">
        <v>24</v>
      </c>
      <c r="H506" s="2" t="s">
        <v>18</v>
      </c>
      <c r="I506" s="2">
        <v>1</v>
      </c>
      <c r="J506" s="2">
        <v>50</v>
      </c>
      <c r="K506" s="2">
        <v>50</v>
      </c>
      <c r="M506" s="2">
        <v>50</v>
      </c>
      <c r="N506" t="str" cm="1">
        <f t="array" ref="N506">IF(M506=Table5[[#This Row],[Total Amount]],"Correct",Check)</f>
        <v>Correct</v>
      </c>
    </row>
    <row r="507" spans="3:14" x14ac:dyDescent="0.25">
      <c r="C507" s="2">
        <v>506</v>
      </c>
      <c r="D507" s="10">
        <v>44982</v>
      </c>
      <c r="E507" s="2" t="s">
        <v>526</v>
      </c>
      <c r="F507" s="2" t="s">
        <v>17</v>
      </c>
      <c r="G507" s="2">
        <v>34</v>
      </c>
      <c r="H507" s="2" t="s">
        <v>18</v>
      </c>
      <c r="I507" s="2">
        <v>3</v>
      </c>
      <c r="J507" s="2">
        <v>500</v>
      </c>
      <c r="K507" s="2">
        <v>1500</v>
      </c>
      <c r="M507" s="2">
        <v>1500</v>
      </c>
      <c r="N507" t="str" cm="1">
        <f t="array" ref="N507">IF(M507=Table5[[#This Row],[Total Amount]],"Correct",Check)</f>
        <v>Correct</v>
      </c>
    </row>
    <row r="508" spans="3:14" x14ac:dyDescent="0.25">
      <c r="C508" s="2">
        <v>507</v>
      </c>
      <c r="D508" s="10">
        <v>45232</v>
      </c>
      <c r="E508" s="2" t="s">
        <v>527</v>
      </c>
      <c r="F508" s="2" t="s">
        <v>20</v>
      </c>
      <c r="G508" s="2">
        <v>37</v>
      </c>
      <c r="H508" s="2" t="s">
        <v>23</v>
      </c>
      <c r="I508" s="2">
        <v>3</v>
      </c>
      <c r="J508" s="2">
        <v>500</v>
      </c>
      <c r="K508" s="2">
        <v>1500</v>
      </c>
      <c r="M508" s="2">
        <v>1500</v>
      </c>
      <c r="N508" t="str" cm="1">
        <f t="array" ref="N508">IF(M508=Table5[[#This Row],[Total Amount]],"Correct",Check)</f>
        <v>Correct</v>
      </c>
    </row>
    <row r="509" spans="3:14" x14ac:dyDescent="0.25">
      <c r="C509" s="2">
        <v>508</v>
      </c>
      <c r="D509" s="10">
        <v>45149</v>
      </c>
      <c r="E509" s="2" t="s">
        <v>528</v>
      </c>
      <c r="F509" s="2" t="s">
        <v>17</v>
      </c>
      <c r="G509" s="2">
        <v>58</v>
      </c>
      <c r="H509" s="2" t="s">
        <v>18</v>
      </c>
      <c r="I509" s="2">
        <v>2</v>
      </c>
      <c r="J509" s="2">
        <v>300</v>
      </c>
      <c r="K509" s="2">
        <v>600</v>
      </c>
      <c r="M509" s="2">
        <v>600</v>
      </c>
      <c r="N509" t="str" cm="1">
        <f t="array" ref="N509">IF(M509=Table5[[#This Row],[Total Amount]],"Correct",Check)</f>
        <v>Correct</v>
      </c>
    </row>
    <row r="510" spans="3:14" x14ac:dyDescent="0.25">
      <c r="C510" s="2">
        <v>509</v>
      </c>
      <c r="D510" s="10">
        <v>45103</v>
      </c>
      <c r="E510" s="2" t="s">
        <v>529</v>
      </c>
      <c r="F510" s="2" t="s">
        <v>20</v>
      </c>
      <c r="G510" s="2">
        <v>37</v>
      </c>
      <c r="H510" s="2" t="s">
        <v>23</v>
      </c>
      <c r="I510" s="2">
        <v>3</v>
      </c>
      <c r="J510" s="2">
        <v>300</v>
      </c>
      <c r="K510" s="2">
        <v>900</v>
      </c>
      <c r="M510" s="2">
        <v>900</v>
      </c>
      <c r="N510" t="str" cm="1">
        <f t="array" ref="N510">IF(M510=Table5[[#This Row],[Total Amount]],"Correct",Check)</f>
        <v>Correct</v>
      </c>
    </row>
    <row r="511" spans="3:14" x14ac:dyDescent="0.25">
      <c r="C511" s="2">
        <v>510</v>
      </c>
      <c r="D511" s="10">
        <v>45087</v>
      </c>
      <c r="E511" s="2" t="s">
        <v>530</v>
      </c>
      <c r="F511" s="2" t="s">
        <v>20</v>
      </c>
      <c r="G511" s="2">
        <v>39</v>
      </c>
      <c r="H511" s="2" t="s">
        <v>18</v>
      </c>
      <c r="I511" s="2">
        <v>4</v>
      </c>
      <c r="J511" s="2">
        <v>50</v>
      </c>
      <c r="K511" s="2">
        <v>200</v>
      </c>
      <c r="M511" s="2">
        <v>200</v>
      </c>
      <c r="N511" t="str" cm="1">
        <f t="array" ref="N511">IF(M511=Table5[[#This Row],[Total Amount]],"Correct",Check)</f>
        <v>Correct</v>
      </c>
    </row>
    <row r="512" spans="3:14" x14ac:dyDescent="0.25">
      <c r="C512" s="2">
        <v>511</v>
      </c>
      <c r="D512" s="10">
        <v>45150</v>
      </c>
      <c r="E512" s="2" t="s">
        <v>531</v>
      </c>
      <c r="F512" s="2" t="s">
        <v>17</v>
      </c>
      <c r="G512" s="2">
        <v>45</v>
      </c>
      <c r="H512" s="2" t="s">
        <v>18</v>
      </c>
      <c r="I512" s="2">
        <v>2</v>
      </c>
      <c r="J512" s="2">
        <v>50</v>
      </c>
      <c r="K512" s="2">
        <v>100</v>
      </c>
      <c r="M512" s="2">
        <v>100</v>
      </c>
      <c r="N512" t="str" cm="1">
        <f t="array" ref="N512">IF(M512=Table5[[#This Row],[Total Amount]],"Correct",Check)</f>
        <v>Correct</v>
      </c>
    </row>
    <row r="513" spans="3:14" x14ac:dyDescent="0.25">
      <c r="C513" s="2">
        <v>512</v>
      </c>
      <c r="D513" s="10">
        <v>45237</v>
      </c>
      <c r="E513" s="2" t="s">
        <v>532</v>
      </c>
      <c r="F513" s="2" t="s">
        <v>20</v>
      </c>
      <c r="G513" s="2">
        <v>57</v>
      </c>
      <c r="H513" s="2" t="s">
        <v>18</v>
      </c>
      <c r="I513" s="2">
        <v>1</v>
      </c>
      <c r="J513" s="2">
        <v>25</v>
      </c>
      <c r="K513" s="2">
        <v>25</v>
      </c>
      <c r="M513" s="2">
        <v>25</v>
      </c>
      <c r="N513" t="str" cm="1">
        <f t="array" ref="N513">IF(M513=Table5[[#This Row],[Total Amount]],"Correct",Check)</f>
        <v>Correct</v>
      </c>
    </row>
    <row r="514" spans="3:14" x14ac:dyDescent="0.25">
      <c r="C514" s="2">
        <v>513</v>
      </c>
      <c r="D514" s="10">
        <v>45188</v>
      </c>
      <c r="E514" s="2" t="s">
        <v>533</v>
      </c>
      <c r="F514" s="2" t="s">
        <v>17</v>
      </c>
      <c r="G514" s="2">
        <v>24</v>
      </c>
      <c r="H514" s="2" t="s">
        <v>23</v>
      </c>
      <c r="I514" s="2">
        <v>4</v>
      </c>
      <c r="J514" s="2">
        <v>25</v>
      </c>
      <c r="K514" s="2">
        <v>100</v>
      </c>
      <c r="M514" s="2">
        <v>100</v>
      </c>
      <c r="N514" t="str" cm="1">
        <f t="array" ref="N514">IF(M514=Table5[[#This Row],[Total Amount]],"Correct",Check)</f>
        <v>Correct</v>
      </c>
    </row>
    <row r="515" spans="3:14" x14ac:dyDescent="0.25">
      <c r="C515" s="2">
        <v>514</v>
      </c>
      <c r="D515" s="10">
        <v>44986</v>
      </c>
      <c r="E515" s="2" t="s">
        <v>534</v>
      </c>
      <c r="F515" s="2" t="s">
        <v>20</v>
      </c>
      <c r="G515" s="2">
        <v>18</v>
      </c>
      <c r="H515" s="2" t="s">
        <v>23</v>
      </c>
      <c r="I515" s="2">
        <v>1</v>
      </c>
      <c r="J515" s="2">
        <v>300</v>
      </c>
      <c r="K515" s="2">
        <v>300</v>
      </c>
      <c r="M515" s="2">
        <v>300</v>
      </c>
      <c r="N515" t="str" cm="1">
        <f t="array" ref="N515">IF(M515=Table5[[#This Row],[Total Amount]],"Correct",Check)</f>
        <v>Correct</v>
      </c>
    </row>
    <row r="516" spans="3:14" x14ac:dyDescent="0.25">
      <c r="C516" s="2">
        <v>515</v>
      </c>
      <c r="D516" s="10">
        <v>45124</v>
      </c>
      <c r="E516" s="2" t="s">
        <v>535</v>
      </c>
      <c r="F516" s="2" t="s">
        <v>20</v>
      </c>
      <c r="G516" s="2">
        <v>49</v>
      </c>
      <c r="H516" s="2" t="s">
        <v>21</v>
      </c>
      <c r="I516" s="2">
        <v>3</v>
      </c>
      <c r="J516" s="2">
        <v>300</v>
      </c>
      <c r="K516" s="2">
        <v>900</v>
      </c>
      <c r="M516" s="2">
        <v>900</v>
      </c>
      <c r="N516" t="str" cm="1">
        <f t="array" ref="N516">IF(M516=Table5[[#This Row],[Total Amount]],"Correct",Check)</f>
        <v>Correct</v>
      </c>
    </row>
    <row r="517" spans="3:14" x14ac:dyDescent="0.25">
      <c r="C517" s="2">
        <v>516</v>
      </c>
      <c r="D517" s="10">
        <v>45222</v>
      </c>
      <c r="E517" s="2" t="s">
        <v>536</v>
      </c>
      <c r="F517" s="2" t="s">
        <v>17</v>
      </c>
      <c r="G517" s="2">
        <v>30</v>
      </c>
      <c r="H517" s="2" t="s">
        <v>18</v>
      </c>
      <c r="I517" s="2">
        <v>4</v>
      </c>
      <c r="J517" s="2">
        <v>25</v>
      </c>
      <c r="K517" s="2">
        <v>100</v>
      </c>
      <c r="M517" s="2">
        <v>100</v>
      </c>
      <c r="N517" t="str" cm="1">
        <f t="array" ref="N517">IF(M517=Table5[[#This Row],[Total Amount]],"Correct",Check)</f>
        <v>Correct</v>
      </c>
    </row>
    <row r="518" spans="3:14" x14ac:dyDescent="0.25">
      <c r="C518" s="2">
        <v>517</v>
      </c>
      <c r="D518" s="10">
        <v>45024</v>
      </c>
      <c r="E518" s="2" t="s">
        <v>537</v>
      </c>
      <c r="F518" s="2" t="s">
        <v>20</v>
      </c>
      <c r="G518" s="2">
        <v>47</v>
      </c>
      <c r="H518" s="2" t="s">
        <v>21</v>
      </c>
      <c r="I518" s="2">
        <v>4</v>
      </c>
      <c r="J518" s="2">
        <v>25</v>
      </c>
      <c r="K518" s="2">
        <v>100</v>
      </c>
      <c r="M518" s="2">
        <v>100</v>
      </c>
      <c r="N518" t="str" cm="1">
        <f t="array" ref="N518">IF(M518=Table5[[#This Row],[Total Amount]],"Correct",Check)</f>
        <v>Correct</v>
      </c>
    </row>
    <row r="519" spans="3:14" x14ac:dyDescent="0.25">
      <c r="C519" s="2">
        <v>518</v>
      </c>
      <c r="D519" s="10">
        <v>45057</v>
      </c>
      <c r="E519" s="2" t="s">
        <v>538</v>
      </c>
      <c r="F519" s="2" t="s">
        <v>20</v>
      </c>
      <c r="G519" s="2">
        <v>40</v>
      </c>
      <c r="H519" s="2" t="s">
        <v>21</v>
      </c>
      <c r="I519" s="2">
        <v>1</v>
      </c>
      <c r="J519" s="2">
        <v>30</v>
      </c>
      <c r="K519" s="2">
        <v>30</v>
      </c>
      <c r="M519" s="2">
        <v>30</v>
      </c>
      <c r="N519" t="str" cm="1">
        <f t="array" ref="N519">IF(M519=Table5[[#This Row],[Total Amount]],"Correct",Check)</f>
        <v>Correct</v>
      </c>
    </row>
    <row r="520" spans="3:14" x14ac:dyDescent="0.25">
      <c r="C520" s="2">
        <v>519</v>
      </c>
      <c r="D520" s="10">
        <v>44949</v>
      </c>
      <c r="E520" s="2" t="s">
        <v>539</v>
      </c>
      <c r="F520" s="2" t="s">
        <v>20</v>
      </c>
      <c r="G520" s="2">
        <v>36</v>
      </c>
      <c r="H520" s="2" t="s">
        <v>23</v>
      </c>
      <c r="I520" s="2">
        <v>4</v>
      </c>
      <c r="J520" s="2">
        <v>30</v>
      </c>
      <c r="K520" s="2">
        <v>120</v>
      </c>
      <c r="M520" s="2">
        <v>120</v>
      </c>
      <c r="N520" t="str" cm="1">
        <f t="array" ref="N520">IF(M520=Table5[[#This Row],[Total Amount]],"Correct",Check)</f>
        <v>Correct</v>
      </c>
    </row>
    <row r="521" spans="3:14" x14ac:dyDescent="0.25">
      <c r="C521" s="2">
        <v>520</v>
      </c>
      <c r="D521" s="10">
        <v>45289</v>
      </c>
      <c r="E521" s="2" t="s">
        <v>540</v>
      </c>
      <c r="F521" s="2" t="s">
        <v>20</v>
      </c>
      <c r="G521" s="2">
        <v>49</v>
      </c>
      <c r="H521" s="2" t="s">
        <v>23</v>
      </c>
      <c r="I521" s="2">
        <v>4</v>
      </c>
      <c r="J521" s="2">
        <v>25</v>
      </c>
      <c r="K521" s="2">
        <v>100</v>
      </c>
      <c r="M521" s="2">
        <v>100</v>
      </c>
      <c r="N521" t="str" cm="1">
        <f t="array" ref="N521">IF(M521=Table5[[#This Row],[Total Amount]],"Correct",Check)</f>
        <v>Correct</v>
      </c>
    </row>
    <row r="522" spans="3:14" x14ac:dyDescent="0.25">
      <c r="C522" s="2">
        <v>521</v>
      </c>
      <c r="D522" s="10">
        <v>45150</v>
      </c>
      <c r="E522" s="2" t="s">
        <v>541</v>
      </c>
      <c r="F522" s="2" t="s">
        <v>20</v>
      </c>
      <c r="G522" s="2">
        <v>47</v>
      </c>
      <c r="H522" s="2" t="s">
        <v>21</v>
      </c>
      <c r="I522" s="2">
        <v>4</v>
      </c>
      <c r="J522" s="2">
        <v>30</v>
      </c>
      <c r="K522" s="2">
        <v>120</v>
      </c>
      <c r="M522" s="2">
        <v>120</v>
      </c>
      <c r="N522" t="str" cm="1">
        <f t="array" ref="N522">IF(M522=Table5[[#This Row],[Total Amount]],"Correct",Check)</f>
        <v>Correct</v>
      </c>
    </row>
    <row r="523" spans="3:14" x14ac:dyDescent="0.25">
      <c r="C523" s="2">
        <v>522</v>
      </c>
      <c r="D523" s="10">
        <v>44927</v>
      </c>
      <c r="E523" s="2" t="s">
        <v>542</v>
      </c>
      <c r="F523" s="2" t="s">
        <v>17</v>
      </c>
      <c r="G523" s="2">
        <v>46</v>
      </c>
      <c r="H523" s="2" t="s">
        <v>18</v>
      </c>
      <c r="I523" s="2">
        <v>3</v>
      </c>
      <c r="J523" s="2">
        <v>500</v>
      </c>
      <c r="K523" s="2">
        <v>1500</v>
      </c>
      <c r="M523" s="2">
        <v>1500</v>
      </c>
      <c r="N523" t="str" cm="1">
        <f t="array" ref="N523">IF(M523=Table5[[#This Row],[Total Amount]],"Correct",Check)</f>
        <v>Correct</v>
      </c>
    </row>
    <row r="524" spans="3:14" x14ac:dyDescent="0.25">
      <c r="C524" s="2">
        <v>523</v>
      </c>
      <c r="D524" s="10">
        <v>45193</v>
      </c>
      <c r="E524" s="2" t="s">
        <v>543</v>
      </c>
      <c r="F524" s="2" t="s">
        <v>20</v>
      </c>
      <c r="G524" s="2">
        <v>62</v>
      </c>
      <c r="H524" s="2" t="s">
        <v>23</v>
      </c>
      <c r="I524" s="2">
        <v>1</v>
      </c>
      <c r="J524" s="2">
        <v>300</v>
      </c>
      <c r="K524" s="2">
        <v>300</v>
      </c>
      <c r="M524" s="2">
        <v>300</v>
      </c>
      <c r="N524" t="str" cm="1">
        <f t="array" ref="N524">IF(M524=Table5[[#This Row],[Total Amount]],"Correct",Check)</f>
        <v>Correct</v>
      </c>
    </row>
    <row r="525" spans="3:14" x14ac:dyDescent="0.25">
      <c r="C525" s="2">
        <v>524</v>
      </c>
      <c r="D525" s="10">
        <v>45202</v>
      </c>
      <c r="E525" s="2" t="s">
        <v>544</v>
      </c>
      <c r="F525" s="2" t="s">
        <v>17</v>
      </c>
      <c r="G525" s="2">
        <v>46</v>
      </c>
      <c r="H525" s="2" t="s">
        <v>18</v>
      </c>
      <c r="I525" s="2">
        <v>4</v>
      </c>
      <c r="J525" s="2">
        <v>300</v>
      </c>
      <c r="K525" s="2">
        <v>1200</v>
      </c>
      <c r="M525" s="2">
        <v>1200</v>
      </c>
      <c r="N525" t="str" cm="1">
        <f t="array" ref="N525">IF(M525=Table5[[#This Row],[Total Amount]],"Correct",Check)</f>
        <v>Correct</v>
      </c>
    </row>
    <row r="526" spans="3:14" x14ac:dyDescent="0.25">
      <c r="C526" s="2">
        <v>525</v>
      </c>
      <c r="D526" s="10">
        <v>45278</v>
      </c>
      <c r="E526" s="2" t="s">
        <v>545</v>
      </c>
      <c r="F526" s="2" t="s">
        <v>20</v>
      </c>
      <c r="G526" s="2">
        <v>47</v>
      </c>
      <c r="H526" s="2" t="s">
        <v>18</v>
      </c>
      <c r="I526" s="2">
        <v>2</v>
      </c>
      <c r="J526" s="2">
        <v>25</v>
      </c>
      <c r="K526" s="2">
        <v>50</v>
      </c>
      <c r="M526" s="2">
        <v>50</v>
      </c>
      <c r="N526" t="str" cm="1">
        <f t="array" ref="N526">IF(M526=Table5[[#This Row],[Total Amount]],"Correct",Check)</f>
        <v>Correct</v>
      </c>
    </row>
    <row r="527" spans="3:14" x14ac:dyDescent="0.25">
      <c r="C527" s="2">
        <v>526</v>
      </c>
      <c r="D527" s="10">
        <v>45270</v>
      </c>
      <c r="E527" s="2" t="s">
        <v>546</v>
      </c>
      <c r="F527" s="2" t="s">
        <v>17</v>
      </c>
      <c r="G527" s="2">
        <v>33</v>
      </c>
      <c r="H527" s="2" t="s">
        <v>21</v>
      </c>
      <c r="I527" s="2">
        <v>2</v>
      </c>
      <c r="J527" s="2">
        <v>50</v>
      </c>
      <c r="K527" s="2">
        <v>100</v>
      </c>
      <c r="M527" s="2">
        <v>100</v>
      </c>
      <c r="N527" t="str" cm="1">
        <f t="array" ref="N527">IF(M527=Table5[[#This Row],[Total Amount]],"Correct",Check)</f>
        <v>Correct</v>
      </c>
    </row>
    <row r="528" spans="3:14" x14ac:dyDescent="0.25">
      <c r="C528" s="2">
        <v>527</v>
      </c>
      <c r="D528" s="10">
        <v>45027</v>
      </c>
      <c r="E528" s="2" t="s">
        <v>547</v>
      </c>
      <c r="F528" s="2" t="s">
        <v>17</v>
      </c>
      <c r="G528" s="2">
        <v>57</v>
      </c>
      <c r="H528" s="2" t="s">
        <v>21</v>
      </c>
      <c r="I528" s="2">
        <v>2</v>
      </c>
      <c r="J528" s="2">
        <v>25</v>
      </c>
      <c r="K528" s="2">
        <v>50</v>
      </c>
      <c r="M528" s="2">
        <v>50</v>
      </c>
      <c r="N528" t="str" cm="1">
        <f t="array" ref="N528">IF(M528=Table5[[#This Row],[Total Amount]],"Correct",Check)</f>
        <v>Correct</v>
      </c>
    </row>
    <row r="529" spans="3:14" x14ac:dyDescent="0.25">
      <c r="C529" s="2">
        <v>528</v>
      </c>
      <c r="D529" s="10">
        <v>45113</v>
      </c>
      <c r="E529" s="2" t="s">
        <v>548</v>
      </c>
      <c r="F529" s="2" t="s">
        <v>20</v>
      </c>
      <c r="G529" s="2">
        <v>36</v>
      </c>
      <c r="H529" s="2" t="s">
        <v>21</v>
      </c>
      <c r="I529" s="2">
        <v>2</v>
      </c>
      <c r="J529" s="2">
        <v>30</v>
      </c>
      <c r="K529" s="2">
        <v>60</v>
      </c>
      <c r="M529" s="2">
        <v>60</v>
      </c>
      <c r="N529" t="str" cm="1">
        <f t="array" ref="N529">IF(M529=Table5[[#This Row],[Total Amount]],"Correct",Check)</f>
        <v>Correct</v>
      </c>
    </row>
    <row r="530" spans="3:14" x14ac:dyDescent="0.25">
      <c r="C530" s="2">
        <v>529</v>
      </c>
      <c r="D530" s="10">
        <v>45147</v>
      </c>
      <c r="E530" s="2" t="s">
        <v>549</v>
      </c>
      <c r="F530" s="2" t="s">
        <v>20</v>
      </c>
      <c r="G530" s="2">
        <v>35</v>
      </c>
      <c r="H530" s="2" t="s">
        <v>21</v>
      </c>
      <c r="I530" s="2">
        <v>3</v>
      </c>
      <c r="J530" s="2">
        <v>50</v>
      </c>
      <c r="K530" s="2">
        <v>150</v>
      </c>
      <c r="M530" s="2">
        <v>150</v>
      </c>
      <c r="N530" t="str" cm="1">
        <f t="array" ref="N530">IF(M530=Table5[[#This Row],[Total Amount]],"Correct",Check)</f>
        <v>Correct</v>
      </c>
    </row>
    <row r="531" spans="3:14" x14ac:dyDescent="0.25">
      <c r="C531" s="2">
        <v>530</v>
      </c>
      <c r="D531" s="10">
        <v>44962</v>
      </c>
      <c r="E531" s="2" t="s">
        <v>550</v>
      </c>
      <c r="F531" s="2" t="s">
        <v>20</v>
      </c>
      <c r="G531" s="2">
        <v>18</v>
      </c>
      <c r="H531" s="2" t="s">
        <v>23</v>
      </c>
      <c r="I531" s="2">
        <v>4</v>
      </c>
      <c r="J531" s="2">
        <v>30</v>
      </c>
      <c r="K531" s="2">
        <v>120</v>
      </c>
      <c r="M531" s="2">
        <v>120</v>
      </c>
      <c r="N531" t="str" cm="1">
        <f t="array" ref="N531">IF(M531=Table5[[#This Row],[Total Amount]],"Correct",Check)</f>
        <v>Correct</v>
      </c>
    </row>
    <row r="532" spans="3:14" x14ac:dyDescent="0.25">
      <c r="C532" s="2">
        <v>531</v>
      </c>
      <c r="D532" s="10">
        <v>45267</v>
      </c>
      <c r="E532" s="2" t="s">
        <v>551</v>
      </c>
      <c r="F532" s="2" t="s">
        <v>17</v>
      </c>
      <c r="G532" s="2">
        <v>31</v>
      </c>
      <c r="H532" s="2" t="s">
        <v>23</v>
      </c>
      <c r="I532" s="2">
        <v>1</v>
      </c>
      <c r="J532" s="2">
        <v>500</v>
      </c>
      <c r="K532" s="2">
        <v>500</v>
      </c>
      <c r="M532" s="2">
        <v>500</v>
      </c>
      <c r="N532" t="str" cm="1">
        <f t="array" ref="N532">IF(M532=Table5[[#This Row],[Total Amount]],"Correct",Check)</f>
        <v>Correct</v>
      </c>
    </row>
    <row r="533" spans="3:14" x14ac:dyDescent="0.25">
      <c r="C533" s="2">
        <v>532</v>
      </c>
      <c r="D533" s="10">
        <v>45096</v>
      </c>
      <c r="E533" s="2" t="s">
        <v>552</v>
      </c>
      <c r="F533" s="2" t="s">
        <v>20</v>
      </c>
      <c r="G533" s="2">
        <v>64</v>
      </c>
      <c r="H533" s="2" t="s">
        <v>21</v>
      </c>
      <c r="I533" s="2">
        <v>4</v>
      </c>
      <c r="J533" s="2">
        <v>30</v>
      </c>
      <c r="K533" s="2">
        <v>120</v>
      </c>
      <c r="M533" s="2">
        <v>120</v>
      </c>
      <c r="N533" t="str" cm="1">
        <f t="array" ref="N533">IF(M533=Table5[[#This Row],[Total Amount]],"Correct",Check)</f>
        <v>Correct</v>
      </c>
    </row>
    <row r="534" spans="3:14" x14ac:dyDescent="0.25">
      <c r="C534" s="2">
        <v>533</v>
      </c>
      <c r="D534" s="10">
        <v>45246</v>
      </c>
      <c r="E534" s="2" t="s">
        <v>553</v>
      </c>
      <c r="F534" s="2" t="s">
        <v>17</v>
      </c>
      <c r="G534" s="2">
        <v>19</v>
      </c>
      <c r="H534" s="2" t="s">
        <v>23</v>
      </c>
      <c r="I534" s="2">
        <v>3</v>
      </c>
      <c r="J534" s="2">
        <v>500</v>
      </c>
      <c r="K534" s="2">
        <v>1500</v>
      </c>
      <c r="M534" s="2">
        <v>1500</v>
      </c>
      <c r="N534" t="str" cm="1">
        <f t="array" ref="N534">IF(M534=Table5[[#This Row],[Total Amount]],"Correct",Check)</f>
        <v>Correct</v>
      </c>
    </row>
    <row r="535" spans="3:14" x14ac:dyDescent="0.25">
      <c r="C535" s="2">
        <v>534</v>
      </c>
      <c r="D535" s="10">
        <v>45087</v>
      </c>
      <c r="E535" s="2" t="s">
        <v>554</v>
      </c>
      <c r="F535" s="2" t="s">
        <v>17</v>
      </c>
      <c r="G535" s="2">
        <v>45</v>
      </c>
      <c r="H535" s="2" t="s">
        <v>21</v>
      </c>
      <c r="I535" s="2">
        <v>2</v>
      </c>
      <c r="J535" s="2">
        <v>500</v>
      </c>
      <c r="K535" s="2">
        <v>1000</v>
      </c>
      <c r="M535" s="2">
        <v>1000</v>
      </c>
      <c r="N535" t="str" cm="1">
        <f t="array" ref="N535">IF(M535=Table5[[#This Row],[Total Amount]],"Correct",Check)</f>
        <v>Correct</v>
      </c>
    </row>
    <row r="536" spans="3:14" x14ac:dyDescent="0.25">
      <c r="C536" s="2">
        <v>535</v>
      </c>
      <c r="D536" s="10">
        <v>45266</v>
      </c>
      <c r="E536" s="2" t="s">
        <v>555</v>
      </c>
      <c r="F536" s="2" t="s">
        <v>17</v>
      </c>
      <c r="G536" s="2">
        <v>47</v>
      </c>
      <c r="H536" s="2" t="s">
        <v>18</v>
      </c>
      <c r="I536" s="2">
        <v>3</v>
      </c>
      <c r="J536" s="2">
        <v>30</v>
      </c>
      <c r="K536" s="2">
        <v>90</v>
      </c>
      <c r="M536" s="2">
        <v>90</v>
      </c>
      <c r="N536" t="str" cm="1">
        <f t="array" ref="N536">IF(M536=Table5[[#This Row],[Total Amount]],"Correct",Check)</f>
        <v>Correct</v>
      </c>
    </row>
    <row r="537" spans="3:14" x14ac:dyDescent="0.25">
      <c r="C537" s="2">
        <v>536</v>
      </c>
      <c r="D537" s="10">
        <v>44990</v>
      </c>
      <c r="E537" s="2" t="s">
        <v>556</v>
      </c>
      <c r="F537" s="2" t="s">
        <v>20</v>
      </c>
      <c r="G537" s="2">
        <v>55</v>
      </c>
      <c r="H537" s="2" t="s">
        <v>18</v>
      </c>
      <c r="I537" s="2">
        <v>4</v>
      </c>
      <c r="J537" s="2">
        <v>30</v>
      </c>
      <c r="K537" s="2">
        <v>120</v>
      </c>
      <c r="M537" s="2">
        <v>120</v>
      </c>
      <c r="N537" t="str" cm="1">
        <f t="array" ref="N537">IF(M537=Table5[[#This Row],[Total Amount]],"Correct",Check)</f>
        <v>Correct</v>
      </c>
    </row>
    <row r="538" spans="3:14" x14ac:dyDescent="0.25">
      <c r="C538" s="2">
        <v>537</v>
      </c>
      <c r="D538" s="10">
        <v>45080</v>
      </c>
      <c r="E538" s="2" t="s">
        <v>557</v>
      </c>
      <c r="F538" s="2" t="s">
        <v>20</v>
      </c>
      <c r="G538" s="2">
        <v>21</v>
      </c>
      <c r="H538" s="2" t="s">
        <v>18</v>
      </c>
      <c r="I538" s="2">
        <v>1</v>
      </c>
      <c r="J538" s="2">
        <v>500</v>
      </c>
      <c r="K538" s="2">
        <v>500</v>
      </c>
      <c r="M538" s="2">
        <v>500</v>
      </c>
      <c r="N538" t="str" cm="1">
        <f t="array" ref="N538">IF(M538=Table5[[#This Row],[Total Amount]],"Correct",Check)</f>
        <v>Correct</v>
      </c>
    </row>
    <row r="539" spans="3:14" x14ac:dyDescent="0.25">
      <c r="C539" s="2">
        <v>538</v>
      </c>
      <c r="D539" s="10">
        <v>45186</v>
      </c>
      <c r="E539" s="2" t="s">
        <v>558</v>
      </c>
      <c r="F539" s="2" t="s">
        <v>17</v>
      </c>
      <c r="G539" s="2">
        <v>18</v>
      </c>
      <c r="H539" s="2" t="s">
        <v>21</v>
      </c>
      <c r="I539" s="2">
        <v>3</v>
      </c>
      <c r="J539" s="2">
        <v>50</v>
      </c>
      <c r="K539" s="2">
        <v>150</v>
      </c>
      <c r="M539" s="2">
        <v>150</v>
      </c>
      <c r="N539" t="str" cm="1">
        <f t="array" ref="N539">IF(M539=Table5[[#This Row],[Total Amount]],"Correct",Check)</f>
        <v>Correct</v>
      </c>
    </row>
    <row r="540" spans="3:14" x14ac:dyDescent="0.25">
      <c r="C540" s="2">
        <v>539</v>
      </c>
      <c r="D540" s="10">
        <v>45085</v>
      </c>
      <c r="E540" s="2" t="s">
        <v>559</v>
      </c>
      <c r="F540" s="2" t="s">
        <v>17</v>
      </c>
      <c r="G540" s="2">
        <v>25</v>
      </c>
      <c r="H540" s="2" t="s">
        <v>18</v>
      </c>
      <c r="I540" s="2">
        <v>1</v>
      </c>
      <c r="J540" s="2">
        <v>500</v>
      </c>
      <c r="K540" s="2">
        <v>500</v>
      </c>
      <c r="M540" s="2">
        <v>500</v>
      </c>
      <c r="N540" t="str" cm="1">
        <f t="array" ref="N540">IF(M540=Table5[[#This Row],[Total Amount]],"Correct",Check)</f>
        <v>Correct</v>
      </c>
    </row>
    <row r="541" spans="3:14" x14ac:dyDescent="0.25">
      <c r="C541" s="2">
        <v>540</v>
      </c>
      <c r="D541" s="10">
        <v>45268</v>
      </c>
      <c r="E541" s="2" t="s">
        <v>560</v>
      </c>
      <c r="F541" s="2" t="s">
        <v>20</v>
      </c>
      <c r="G541" s="2">
        <v>46</v>
      </c>
      <c r="H541" s="2" t="s">
        <v>23</v>
      </c>
      <c r="I541" s="2">
        <v>3</v>
      </c>
      <c r="J541" s="2">
        <v>300</v>
      </c>
      <c r="K541" s="2">
        <v>900</v>
      </c>
      <c r="M541" s="2">
        <v>900</v>
      </c>
      <c r="N541" t="str" cm="1">
        <f t="array" ref="N541">IF(M541=Table5[[#This Row],[Total Amount]],"Correct",Check)</f>
        <v>Correct</v>
      </c>
    </row>
    <row r="542" spans="3:14" x14ac:dyDescent="0.25">
      <c r="C542" s="2">
        <v>541</v>
      </c>
      <c r="D542" s="10">
        <v>45136</v>
      </c>
      <c r="E542" s="2" t="s">
        <v>561</v>
      </c>
      <c r="F542" s="2" t="s">
        <v>17</v>
      </c>
      <c r="G542" s="2">
        <v>56</v>
      </c>
      <c r="H542" s="2" t="s">
        <v>18</v>
      </c>
      <c r="I542" s="2">
        <v>1</v>
      </c>
      <c r="J542" s="2">
        <v>500</v>
      </c>
      <c r="K542" s="2">
        <v>500</v>
      </c>
      <c r="M542" s="2">
        <v>500</v>
      </c>
      <c r="N542" t="str" cm="1">
        <f t="array" ref="N542">IF(M542=Table5[[#This Row],[Total Amount]],"Correct",Check)</f>
        <v>Correct</v>
      </c>
    </row>
    <row r="543" spans="3:14" x14ac:dyDescent="0.25">
      <c r="C543" s="2">
        <v>542</v>
      </c>
      <c r="D543" s="10">
        <v>45094</v>
      </c>
      <c r="E543" s="2" t="s">
        <v>562</v>
      </c>
      <c r="F543" s="2" t="s">
        <v>20</v>
      </c>
      <c r="G543" s="2">
        <v>20</v>
      </c>
      <c r="H543" s="2" t="s">
        <v>18</v>
      </c>
      <c r="I543" s="2">
        <v>1</v>
      </c>
      <c r="J543" s="2">
        <v>50</v>
      </c>
      <c r="K543" s="2">
        <v>50</v>
      </c>
      <c r="M543" s="2">
        <v>50</v>
      </c>
      <c r="N543" t="str" cm="1">
        <f t="array" ref="N543">IF(M543=Table5[[#This Row],[Total Amount]],"Correct",Check)</f>
        <v>Correct</v>
      </c>
    </row>
    <row r="544" spans="3:14" x14ac:dyDescent="0.25">
      <c r="C544" s="2">
        <v>543</v>
      </c>
      <c r="D544" s="10">
        <v>45133</v>
      </c>
      <c r="E544" s="2" t="s">
        <v>563</v>
      </c>
      <c r="F544" s="2" t="s">
        <v>17</v>
      </c>
      <c r="G544" s="2">
        <v>49</v>
      </c>
      <c r="H544" s="2" t="s">
        <v>18</v>
      </c>
      <c r="I544" s="2">
        <v>2</v>
      </c>
      <c r="J544" s="2">
        <v>300</v>
      </c>
      <c r="K544" s="2">
        <v>600</v>
      </c>
      <c r="M544" s="2">
        <v>600</v>
      </c>
      <c r="N544" t="str" cm="1">
        <f t="array" ref="N544">IF(M544=Table5[[#This Row],[Total Amount]],"Correct",Check)</f>
        <v>Correct</v>
      </c>
    </row>
    <row r="545" spans="3:14" x14ac:dyDescent="0.25">
      <c r="C545" s="2">
        <v>544</v>
      </c>
      <c r="D545" s="10">
        <v>45283</v>
      </c>
      <c r="E545" s="2" t="s">
        <v>564</v>
      </c>
      <c r="F545" s="2" t="s">
        <v>20</v>
      </c>
      <c r="G545" s="2">
        <v>27</v>
      </c>
      <c r="H545" s="2" t="s">
        <v>23</v>
      </c>
      <c r="I545" s="2">
        <v>1</v>
      </c>
      <c r="J545" s="2">
        <v>25</v>
      </c>
      <c r="K545" s="2">
        <v>25</v>
      </c>
      <c r="M545" s="2">
        <v>25</v>
      </c>
      <c r="N545" t="str" cm="1">
        <f t="array" ref="N545">IF(M545=Table5[[#This Row],[Total Amount]],"Correct",Check)</f>
        <v>Correct</v>
      </c>
    </row>
    <row r="546" spans="3:14" x14ac:dyDescent="0.25">
      <c r="C546" s="2">
        <v>545</v>
      </c>
      <c r="D546" s="10">
        <v>45078</v>
      </c>
      <c r="E546" s="2" t="s">
        <v>565</v>
      </c>
      <c r="F546" s="2" t="s">
        <v>17</v>
      </c>
      <c r="G546" s="2">
        <v>27</v>
      </c>
      <c r="H546" s="2" t="s">
        <v>21</v>
      </c>
      <c r="I546" s="2">
        <v>2</v>
      </c>
      <c r="J546" s="2">
        <v>25</v>
      </c>
      <c r="K546" s="2">
        <v>50</v>
      </c>
      <c r="M546" s="2">
        <v>50</v>
      </c>
      <c r="N546" t="str" cm="1">
        <f t="array" ref="N546">IF(M546=Table5[[#This Row],[Total Amount]],"Correct",Check)</f>
        <v>Correct</v>
      </c>
    </row>
    <row r="547" spans="3:14" x14ac:dyDescent="0.25">
      <c r="C547" s="2">
        <v>546</v>
      </c>
      <c r="D547" s="10">
        <v>45210</v>
      </c>
      <c r="E547" s="2" t="s">
        <v>566</v>
      </c>
      <c r="F547" s="2" t="s">
        <v>20</v>
      </c>
      <c r="G547" s="2">
        <v>36</v>
      </c>
      <c r="H547" s="2" t="s">
        <v>23</v>
      </c>
      <c r="I547" s="2">
        <v>4</v>
      </c>
      <c r="J547" s="2">
        <v>50</v>
      </c>
      <c r="K547" s="2">
        <v>200</v>
      </c>
      <c r="M547" s="2">
        <v>200</v>
      </c>
      <c r="N547" t="str" cm="1">
        <f t="array" ref="N547">IF(M547=Table5[[#This Row],[Total Amount]],"Correct",Check)</f>
        <v>Correct</v>
      </c>
    </row>
    <row r="548" spans="3:14" x14ac:dyDescent="0.25">
      <c r="C548" s="2">
        <v>547</v>
      </c>
      <c r="D548" s="10">
        <v>44992</v>
      </c>
      <c r="E548" s="2" t="s">
        <v>567</v>
      </c>
      <c r="F548" s="2" t="s">
        <v>17</v>
      </c>
      <c r="G548" s="2">
        <v>63</v>
      </c>
      <c r="H548" s="2" t="s">
        <v>21</v>
      </c>
      <c r="I548" s="2">
        <v>4</v>
      </c>
      <c r="J548" s="2">
        <v>500</v>
      </c>
      <c r="K548" s="2">
        <v>2000</v>
      </c>
      <c r="M548" s="2">
        <v>2000</v>
      </c>
      <c r="N548" t="str" cm="1">
        <f t="array" ref="N548">IF(M548=Table5[[#This Row],[Total Amount]],"Correct",Check)</f>
        <v>Correct</v>
      </c>
    </row>
    <row r="549" spans="3:14" x14ac:dyDescent="0.25">
      <c r="C549" s="2">
        <v>548</v>
      </c>
      <c r="D549" s="10">
        <v>45025</v>
      </c>
      <c r="E549" s="2" t="s">
        <v>568</v>
      </c>
      <c r="F549" s="2" t="s">
        <v>20</v>
      </c>
      <c r="G549" s="2">
        <v>51</v>
      </c>
      <c r="H549" s="2" t="s">
        <v>21</v>
      </c>
      <c r="I549" s="2">
        <v>2</v>
      </c>
      <c r="J549" s="2">
        <v>30</v>
      </c>
      <c r="K549" s="2">
        <v>60</v>
      </c>
      <c r="M549" s="2">
        <v>60</v>
      </c>
      <c r="N549" t="str" cm="1">
        <f t="array" ref="N549">IF(M549=Table5[[#This Row],[Total Amount]],"Correct",Check)</f>
        <v>Correct</v>
      </c>
    </row>
    <row r="550" spans="3:14" x14ac:dyDescent="0.25">
      <c r="C550" s="2">
        <v>549</v>
      </c>
      <c r="D550" s="10">
        <v>45142</v>
      </c>
      <c r="E550" s="2" t="s">
        <v>569</v>
      </c>
      <c r="F550" s="2" t="s">
        <v>20</v>
      </c>
      <c r="G550" s="2">
        <v>50</v>
      </c>
      <c r="H550" s="2" t="s">
        <v>18</v>
      </c>
      <c r="I550" s="2">
        <v>2</v>
      </c>
      <c r="J550" s="2">
        <v>50</v>
      </c>
      <c r="K550" s="2">
        <v>100</v>
      </c>
      <c r="M550" s="2">
        <v>100</v>
      </c>
      <c r="N550" t="str" cm="1">
        <f t="array" ref="N550">IF(M550=Table5[[#This Row],[Total Amount]],"Correct",Check)</f>
        <v>Correct</v>
      </c>
    </row>
    <row r="551" spans="3:14" x14ac:dyDescent="0.25">
      <c r="C551" s="2">
        <v>550</v>
      </c>
      <c r="D551" s="10">
        <v>45267</v>
      </c>
      <c r="E551" s="2" t="s">
        <v>570</v>
      </c>
      <c r="F551" s="2" t="s">
        <v>17</v>
      </c>
      <c r="G551" s="2">
        <v>40</v>
      </c>
      <c r="H551" s="2" t="s">
        <v>21</v>
      </c>
      <c r="I551" s="2">
        <v>3</v>
      </c>
      <c r="J551" s="2">
        <v>300</v>
      </c>
      <c r="K551" s="2">
        <v>900</v>
      </c>
      <c r="M551" s="2">
        <v>900</v>
      </c>
      <c r="N551" t="str" cm="1">
        <f t="array" ref="N551">IF(M551=Table5[[#This Row],[Total Amount]],"Correct",Check)</f>
        <v>Correct</v>
      </c>
    </row>
    <row r="552" spans="3:14" x14ac:dyDescent="0.25">
      <c r="C552" s="2">
        <v>551</v>
      </c>
      <c r="D552" s="10">
        <v>45121</v>
      </c>
      <c r="E552" s="2" t="s">
        <v>571</v>
      </c>
      <c r="F552" s="2" t="s">
        <v>17</v>
      </c>
      <c r="G552" s="2">
        <v>45</v>
      </c>
      <c r="H552" s="2" t="s">
        <v>23</v>
      </c>
      <c r="I552" s="2">
        <v>3</v>
      </c>
      <c r="J552" s="2">
        <v>300</v>
      </c>
      <c r="K552" s="2">
        <v>900</v>
      </c>
      <c r="M552" s="2">
        <v>900</v>
      </c>
      <c r="N552" t="str" cm="1">
        <f t="array" ref="N552">IF(M552=Table5[[#This Row],[Total Amount]],"Correct",Check)</f>
        <v>Correct</v>
      </c>
    </row>
    <row r="553" spans="3:14" x14ac:dyDescent="0.25">
      <c r="C553" s="2">
        <v>552</v>
      </c>
      <c r="D553" s="10">
        <v>45273</v>
      </c>
      <c r="E553" s="2" t="s">
        <v>572</v>
      </c>
      <c r="F553" s="2" t="s">
        <v>20</v>
      </c>
      <c r="G553" s="2">
        <v>49</v>
      </c>
      <c r="H553" s="2" t="s">
        <v>23</v>
      </c>
      <c r="I553" s="2">
        <v>3</v>
      </c>
      <c r="J553" s="2">
        <v>25</v>
      </c>
      <c r="K553" s="2">
        <v>75</v>
      </c>
      <c r="M553" s="2">
        <v>75</v>
      </c>
      <c r="N553" t="str" cm="1">
        <f t="array" ref="N553">IF(M553=Table5[[#This Row],[Total Amount]],"Correct",Check)</f>
        <v>Correct</v>
      </c>
    </row>
    <row r="554" spans="3:14" x14ac:dyDescent="0.25">
      <c r="C554" s="2">
        <v>553</v>
      </c>
      <c r="D554" s="10">
        <v>45016</v>
      </c>
      <c r="E554" s="2" t="s">
        <v>573</v>
      </c>
      <c r="F554" s="2" t="s">
        <v>17</v>
      </c>
      <c r="G554" s="2">
        <v>24</v>
      </c>
      <c r="H554" s="2" t="s">
        <v>21</v>
      </c>
      <c r="I554" s="2">
        <v>4</v>
      </c>
      <c r="J554" s="2">
        <v>300</v>
      </c>
      <c r="K554" s="2">
        <v>1200</v>
      </c>
      <c r="M554" s="2">
        <v>1200</v>
      </c>
      <c r="N554" t="str" cm="1">
        <f t="array" ref="N554">IF(M554=Table5[[#This Row],[Total Amount]],"Correct",Check)</f>
        <v>Correct</v>
      </c>
    </row>
    <row r="555" spans="3:14" x14ac:dyDescent="0.25">
      <c r="C555" s="2">
        <v>554</v>
      </c>
      <c r="D555" s="10">
        <v>45242</v>
      </c>
      <c r="E555" s="2" t="s">
        <v>574</v>
      </c>
      <c r="F555" s="2" t="s">
        <v>20</v>
      </c>
      <c r="G555" s="2">
        <v>46</v>
      </c>
      <c r="H555" s="2" t="s">
        <v>18</v>
      </c>
      <c r="I555" s="2">
        <v>3</v>
      </c>
      <c r="J555" s="2">
        <v>50</v>
      </c>
      <c r="K555" s="2">
        <v>150</v>
      </c>
      <c r="M555" s="2">
        <v>150</v>
      </c>
      <c r="N555" t="str" cm="1">
        <f t="array" ref="N555">IF(M555=Table5[[#This Row],[Total Amount]],"Correct",Check)</f>
        <v>Correct</v>
      </c>
    </row>
    <row r="556" spans="3:14" x14ac:dyDescent="0.25">
      <c r="C556" s="2">
        <v>555</v>
      </c>
      <c r="D556" s="10">
        <v>45218</v>
      </c>
      <c r="E556" s="2" t="s">
        <v>575</v>
      </c>
      <c r="F556" s="2" t="s">
        <v>17</v>
      </c>
      <c r="G556" s="2">
        <v>25</v>
      </c>
      <c r="H556" s="2" t="s">
        <v>18</v>
      </c>
      <c r="I556" s="2">
        <v>1</v>
      </c>
      <c r="J556" s="2">
        <v>300</v>
      </c>
      <c r="K556" s="2">
        <v>300</v>
      </c>
      <c r="M556" s="2">
        <v>300</v>
      </c>
      <c r="N556" t="str" cm="1">
        <f t="array" ref="N556">IF(M556=Table5[[#This Row],[Total Amount]],"Correct",Check)</f>
        <v>Correct</v>
      </c>
    </row>
    <row r="557" spans="3:14" x14ac:dyDescent="0.25">
      <c r="C557" s="2">
        <v>556</v>
      </c>
      <c r="D557" s="10">
        <v>45081</v>
      </c>
      <c r="E557" s="2" t="s">
        <v>576</v>
      </c>
      <c r="F557" s="2" t="s">
        <v>20</v>
      </c>
      <c r="G557" s="2">
        <v>18</v>
      </c>
      <c r="H557" s="2" t="s">
        <v>23</v>
      </c>
      <c r="I557" s="2">
        <v>1</v>
      </c>
      <c r="J557" s="2">
        <v>50</v>
      </c>
      <c r="K557" s="2">
        <v>50</v>
      </c>
      <c r="M557" s="2">
        <v>50</v>
      </c>
      <c r="N557" t="str" cm="1">
        <f t="array" ref="N557">IF(M557=Table5[[#This Row],[Total Amount]],"Correct",Check)</f>
        <v>Correct</v>
      </c>
    </row>
    <row r="558" spans="3:14" x14ac:dyDescent="0.25">
      <c r="C558" s="2">
        <v>557</v>
      </c>
      <c r="D558" s="10">
        <v>45134</v>
      </c>
      <c r="E558" s="2" t="s">
        <v>577</v>
      </c>
      <c r="F558" s="2" t="s">
        <v>20</v>
      </c>
      <c r="G558" s="2">
        <v>20</v>
      </c>
      <c r="H558" s="2" t="s">
        <v>18</v>
      </c>
      <c r="I558" s="2">
        <v>3</v>
      </c>
      <c r="J558" s="2">
        <v>30</v>
      </c>
      <c r="K558" s="2">
        <v>90</v>
      </c>
      <c r="M558" s="2">
        <v>90</v>
      </c>
      <c r="N558" t="str" cm="1">
        <f t="array" ref="N558">IF(M558=Table5[[#This Row],[Total Amount]],"Correct",Check)</f>
        <v>Correct</v>
      </c>
    </row>
    <row r="559" spans="3:14" x14ac:dyDescent="0.25">
      <c r="C559" s="2">
        <v>558</v>
      </c>
      <c r="D559" s="10">
        <v>45207</v>
      </c>
      <c r="E559" s="2" t="s">
        <v>578</v>
      </c>
      <c r="F559" s="2" t="s">
        <v>20</v>
      </c>
      <c r="G559" s="2">
        <v>41</v>
      </c>
      <c r="H559" s="2" t="s">
        <v>21</v>
      </c>
      <c r="I559" s="2">
        <v>1</v>
      </c>
      <c r="J559" s="2">
        <v>25</v>
      </c>
      <c r="K559" s="2">
        <v>25</v>
      </c>
      <c r="M559" s="2">
        <v>25</v>
      </c>
      <c r="N559" t="str" cm="1">
        <f t="array" ref="N559">IF(M559=Table5[[#This Row],[Total Amount]],"Correct",Check)</f>
        <v>Correct</v>
      </c>
    </row>
    <row r="560" spans="3:14" x14ac:dyDescent="0.25">
      <c r="C560" s="2">
        <v>559</v>
      </c>
      <c r="D560" s="10">
        <v>44927</v>
      </c>
      <c r="E560" s="2" t="s">
        <v>579</v>
      </c>
      <c r="F560" s="2" t="s">
        <v>20</v>
      </c>
      <c r="G560" s="2">
        <v>40</v>
      </c>
      <c r="H560" s="2" t="s">
        <v>21</v>
      </c>
      <c r="I560" s="2">
        <v>4</v>
      </c>
      <c r="J560" s="2">
        <v>300</v>
      </c>
      <c r="K560" s="2">
        <v>1200</v>
      </c>
      <c r="M560" s="2">
        <v>1200</v>
      </c>
      <c r="N560" t="str" cm="1">
        <f t="array" ref="N560">IF(M560=Table5[[#This Row],[Total Amount]],"Correct",Check)</f>
        <v>Correct</v>
      </c>
    </row>
    <row r="561" spans="3:14" x14ac:dyDescent="0.25">
      <c r="C561" s="2">
        <v>560</v>
      </c>
      <c r="D561" s="10">
        <v>45082</v>
      </c>
      <c r="E561" s="2" t="s">
        <v>580</v>
      </c>
      <c r="F561" s="2" t="s">
        <v>20</v>
      </c>
      <c r="G561" s="2">
        <v>25</v>
      </c>
      <c r="H561" s="2" t="s">
        <v>23</v>
      </c>
      <c r="I561" s="2">
        <v>1</v>
      </c>
      <c r="J561" s="2">
        <v>50</v>
      </c>
      <c r="K561" s="2">
        <v>50</v>
      </c>
      <c r="M561" s="2">
        <v>50</v>
      </c>
      <c r="N561" t="str" cm="1">
        <f t="array" ref="N561">IF(M561=Table5[[#This Row],[Total Amount]],"Correct",Check)</f>
        <v>Correct</v>
      </c>
    </row>
    <row r="562" spans="3:14" x14ac:dyDescent="0.25">
      <c r="C562" s="2">
        <v>561</v>
      </c>
      <c r="D562" s="10">
        <v>45073</v>
      </c>
      <c r="E562" s="2" t="s">
        <v>581</v>
      </c>
      <c r="F562" s="2" t="s">
        <v>20</v>
      </c>
      <c r="G562" s="2">
        <v>64</v>
      </c>
      <c r="H562" s="2" t="s">
        <v>21</v>
      </c>
      <c r="I562" s="2">
        <v>4</v>
      </c>
      <c r="J562" s="2">
        <v>500</v>
      </c>
      <c r="K562" s="2">
        <v>2000</v>
      </c>
      <c r="M562" s="2">
        <v>2000</v>
      </c>
      <c r="N562" t="str" cm="1">
        <f t="array" ref="N562">IF(M562=Table5[[#This Row],[Total Amount]],"Correct",Check)</f>
        <v>Correct</v>
      </c>
    </row>
    <row r="563" spans="3:14" x14ac:dyDescent="0.25">
      <c r="C563" s="2">
        <v>562</v>
      </c>
      <c r="D563" s="10">
        <v>45034</v>
      </c>
      <c r="E563" s="2" t="s">
        <v>582</v>
      </c>
      <c r="F563" s="2" t="s">
        <v>17</v>
      </c>
      <c r="G563" s="2">
        <v>54</v>
      </c>
      <c r="H563" s="2" t="s">
        <v>23</v>
      </c>
      <c r="I563" s="2">
        <v>2</v>
      </c>
      <c r="J563" s="2">
        <v>25</v>
      </c>
      <c r="K563" s="2">
        <v>50</v>
      </c>
      <c r="M563" s="2">
        <v>50</v>
      </c>
      <c r="N563" t="str" cm="1">
        <f t="array" ref="N563">IF(M563=Table5[[#This Row],[Total Amount]],"Correct",Check)</f>
        <v>Correct</v>
      </c>
    </row>
    <row r="564" spans="3:14" x14ac:dyDescent="0.25">
      <c r="C564" s="2">
        <v>563</v>
      </c>
      <c r="D564" s="10">
        <v>45147</v>
      </c>
      <c r="E564" s="2" t="s">
        <v>583</v>
      </c>
      <c r="F564" s="2" t="s">
        <v>17</v>
      </c>
      <c r="G564" s="2">
        <v>20</v>
      </c>
      <c r="H564" s="2" t="s">
        <v>21</v>
      </c>
      <c r="I564" s="2">
        <v>2</v>
      </c>
      <c r="J564" s="2">
        <v>30</v>
      </c>
      <c r="K564" s="2">
        <v>60</v>
      </c>
      <c r="M564" s="2">
        <v>60</v>
      </c>
      <c r="N564" t="str" cm="1">
        <f t="array" ref="N564">IF(M564=Table5[[#This Row],[Total Amount]],"Correct",Check)</f>
        <v>Correct</v>
      </c>
    </row>
    <row r="565" spans="3:14" x14ac:dyDescent="0.25">
      <c r="C565" s="2">
        <v>564</v>
      </c>
      <c r="D565" s="10">
        <v>45223</v>
      </c>
      <c r="E565" s="2" t="s">
        <v>584</v>
      </c>
      <c r="F565" s="2" t="s">
        <v>17</v>
      </c>
      <c r="G565" s="2">
        <v>50</v>
      </c>
      <c r="H565" s="2" t="s">
        <v>23</v>
      </c>
      <c r="I565" s="2">
        <v>2</v>
      </c>
      <c r="J565" s="2">
        <v>50</v>
      </c>
      <c r="K565" s="2">
        <v>100</v>
      </c>
      <c r="M565" s="2">
        <v>100</v>
      </c>
      <c r="N565" t="str" cm="1">
        <f t="array" ref="N565">IF(M565=Table5[[#This Row],[Total Amount]],"Correct",Check)</f>
        <v>Correct</v>
      </c>
    </row>
    <row r="566" spans="3:14" x14ac:dyDescent="0.25">
      <c r="C566" s="2">
        <v>565</v>
      </c>
      <c r="D566" s="10">
        <v>45237</v>
      </c>
      <c r="E566" s="2" t="s">
        <v>585</v>
      </c>
      <c r="F566" s="2" t="s">
        <v>20</v>
      </c>
      <c r="G566" s="2">
        <v>45</v>
      </c>
      <c r="H566" s="2" t="s">
        <v>18</v>
      </c>
      <c r="I566" s="2">
        <v>2</v>
      </c>
      <c r="J566" s="2">
        <v>30</v>
      </c>
      <c r="K566" s="2">
        <v>60</v>
      </c>
      <c r="M566" s="2">
        <v>60</v>
      </c>
      <c r="N566" t="str" cm="1">
        <f t="array" ref="N566">IF(M566=Table5[[#This Row],[Total Amount]],"Correct",Check)</f>
        <v>Correct</v>
      </c>
    </row>
    <row r="567" spans="3:14" x14ac:dyDescent="0.25">
      <c r="C567" s="2">
        <v>566</v>
      </c>
      <c r="D567" s="10">
        <v>45262</v>
      </c>
      <c r="E567" s="2" t="s">
        <v>586</v>
      </c>
      <c r="F567" s="2" t="s">
        <v>20</v>
      </c>
      <c r="G567" s="2">
        <v>64</v>
      </c>
      <c r="H567" s="2" t="s">
        <v>21</v>
      </c>
      <c r="I567" s="2">
        <v>1</v>
      </c>
      <c r="J567" s="2">
        <v>30</v>
      </c>
      <c r="K567" s="2">
        <v>30</v>
      </c>
      <c r="M567" s="2">
        <v>30</v>
      </c>
      <c r="N567" t="str" cm="1">
        <f t="array" ref="N567">IF(M567=Table5[[#This Row],[Total Amount]],"Correct",Check)</f>
        <v>Correct</v>
      </c>
    </row>
    <row r="568" spans="3:14" x14ac:dyDescent="0.25">
      <c r="C568" s="2">
        <v>567</v>
      </c>
      <c r="D568" s="10">
        <v>45091</v>
      </c>
      <c r="E568" s="2" t="s">
        <v>587</v>
      </c>
      <c r="F568" s="2" t="s">
        <v>20</v>
      </c>
      <c r="G568" s="2">
        <v>25</v>
      </c>
      <c r="H568" s="2" t="s">
        <v>21</v>
      </c>
      <c r="I568" s="2">
        <v>3</v>
      </c>
      <c r="J568" s="2">
        <v>300</v>
      </c>
      <c r="K568" s="2">
        <v>900</v>
      </c>
      <c r="M568" s="2">
        <v>900</v>
      </c>
      <c r="N568" t="str" cm="1">
        <f t="array" ref="N568">IF(M568=Table5[[#This Row],[Total Amount]],"Correct",Check)</f>
        <v>Correct</v>
      </c>
    </row>
    <row r="569" spans="3:14" x14ac:dyDescent="0.25">
      <c r="C569" s="2">
        <v>568</v>
      </c>
      <c r="D569" s="10">
        <v>45165</v>
      </c>
      <c r="E569" s="2" t="s">
        <v>588</v>
      </c>
      <c r="F569" s="2" t="s">
        <v>20</v>
      </c>
      <c r="G569" s="2">
        <v>51</v>
      </c>
      <c r="H569" s="2" t="s">
        <v>23</v>
      </c>
      <c r="I569" s="2">
        <v>1</v>
      </c>
      <c r="J569" s="2">
        <v>300</v>
      </c>
      <c r="K569" s="2">
        <v>300</v>
      </c>
      <c r="M569" s="2">
        <v>300</v>
      </c>
      <c r="N569" t="str" cm="1">
        <f t="array" ref="N569">IF(M569=Table5[[#This Row],[Total Amount]],"Correct",Check)</f>
        <v>Correct</v>
      </c>
    </row>
    <row r="570" spans="3:14" x14ac:dyDescent="0.25">
      <c r="C570" s="2">
        <v>569</v>
      </c>
      <c r="D570" s="10">
        <v>45153</v>
      </c>
      <c r="E570" s="2" t="s">
        <v>589</v>
      </c>
      <c r="F570" s="2" t="s">
        <v>17</v>
      </c>
      <c r="G570" s="2">
        <v>52</v>
      </c>
      <c r="H570" s="2" t="s">
        <v>23</v>
      </c>
      <c r="I570" s="2">
        <v>4</v>
      </c>
      <c r="J570" s="2">
        <v>50</v>
      </c>
      <c r="K570" s="2">
        <v>200</v>
      </c>
      <c r="M570" s="2">
        <v>200</v>
      </c>
      <c r="N570" t="str" cm="1">
        <f t="array" ref="N570">IF(M570=Table5[[#This Row],[Total Amount]],"Correct",Check)</f>
        <v>Correct</v>
      </c>
    </row>
    <row r="571" spans="3:14" x14ac:dyDescent="0.25">
      <c r="C571" s="2">
        <v>570</v>
      </c>
      <c r="D571" s="10">
        <v>45153</v>
      </c>
      <c r="E571" s="2" t="s">
        <v>590</v>
      </c>
      <c r="F571" s="2" t="s">
        <v>17</v>
      </c>
      <c r="G571" s="2">
        <v>49</v>
      </c>
      <c r="H571" s="2" t="s">
        <v>21</v>
      </c>
      <c r="I571" s="2">
        <v>1</v>
      </c>
      <c r="J571" s="2">
        <v>500</v>
      </c>
      <c r="K571" s="2">
        <v>500</v>
      </c>
      <c r="M571" s="2">
        <v>500</v>
      </c>
      <c r="N571" t="str" cm="1">
        <f t="array" ref="N571">IF(M571=Table5[[#This Row],[Total Amount]],"Correct",Check)</f>
        <v>Correct</v>
      </c>
    </row>
    <row r="572" spans="3:14" x14ac:dyDescent="0.25">
      <c r="C572" s="2">
        <v>571</v>
      </c>
      <c r="D572" s="10">
        <v>45272</v>
      </c>
      <c r="E572" s="2" t="s">
        <v>591</v>
      </c>
      <c r="F572" s="2" t="s">
        <v>20</v>
      </c>
      <c r="G572" s="2">
        <v>41</v>
      </c>
      <c r="H572" s="2" t="s">
        <v>23</v>
      </c>
      <c r="I572" s="2">
        <v>1</v>
      </c>
      <c r="J572" s="2">
        <v>50</v>
      </c>
      <c r="K572" s="2">
        <v>50</v>
      </c>
      <c r="M572" s="2">
        <v>50</v>
      </c>
      <c r="N572" t="str" cm="1">
        <f t="array" ref="N572">IF(M572=Table5[[#This Row],[Total Amount]],"Correct",Check)</f>
        <v>Correct</v>
      </c>
    </row>
    <row r="573" spans="3:14" x14ac:dyDescent="0.25">
      <c r="C573" s="2">
        <v>572</v>
      </c>
      <c r="D573" s="10">
        <v>45036</v>
      </c>
      <c r="E573" s="2" t="s">
        <v>592</v>
      </c>
      <c r="F573" s="2" t="s">
        <v>17</v>
      </c>
      <c r="G573" s="2">
        <v>31</v>
      </c>
      <c r="H573" s="2" t="s">
        <v>21</v>
      </c>
      <c r="I573" s="2">
        <v>4</v>
      </c>
      <c r="J573" s="2">
        <v>500</v>
      </c>
      <c r="K573" s="2">
        <v>2000</v>
      </c>
      <c r="M573" s="2">
        <v>2000</v>
      </c>
      <c r="N573" t="str" cm="1">
        <f t="array" ref="N573">IF(M573=Table5[[#This Row],[Total Amount]],"Correct",Check)</f>
        <v>Correct</v>
      </c>
    </row>
    <row r="574" spans="3:14" x14ac:dyDescent="0.25">
      <c r="C574" s="2">
        <v>573</v>
      </c>
      <c r="D574" s="10">
        <v>45188</v>
      </c>
      <c r="E574" s="2" t="s">
        <v>593</v>
      </c>
      <c r="F574" s="2" t="s">
        <v>17</v>
      </c>
      <c r="G574" s="2">
        <v>49</v>
      </c>
      <c r="H574" s="2" t="s">
        <v>18</v>
      </c>
      <c r="I574" s="2">
        <v>2</v>
      </c>
      <c r="J574" s="2">
        <v>30</v>
      </c>
      <c r="K574" s="2">
        <v>60</v>
      </c>
      <c r="M574" s="2">
        <v>60</v>
      </c>
      <c r="N574" t="str" cm="1">
        <f t="array" ref="N574">IF(M574=Table5[[#This Row],[Total Amount]],"Correct",Check)</f>
        <v>Correct</v>
      </c>
    </row>
    <row r="575" spans="3:14" x14ac:dyDescent="0.25">
      <c r="C575" s="2">
        <v>574</v>
      </c>
      <c r="D575" s="10">
        <v>45169</v>
      </c>
      <c r="E575" s="2" t="s">
        <v>594</v>
      </c>
      <c r="F575" s="2" t="s">
        <v>20</v>
      </c>
      <c r="G575" s="2">
        <v>63</v>
      </c>
      <c r="H575" s="2" t="s">
        <v>23</v>
      </c>
      <c r="I575" s="2">
        <v>2</v>
      </c>
      <c r="J575" s="2">
        <v>25</v>
      </c>
      <c r="K575" s="2">
        <v>50</v>
      </c>
      <c r="M575" s="2">
        <v>50</v>
      </c>
      <c r="N575" t="str" cm="1">
        <f t="array" ref="N575">IF(M575=Table5[[#This Row],[Total Amount]],"Correct",Check)</f>
        <v>Correct</v>
      </c>
    </row>
    <row r="576" spans="3:14" x14ac:dyDescent="0.25">
      <c r="C576" s="2">
        <v>575</v>
      </c>
      <c r="D576" s="10">
        <v>45013</v>
      </c>
      <c r="E576" s="2" t="s">
        <v>595</v>
      </c>
      <c r="F576" s="2" t="s">
        <v>17</v>
      </c>
      <c r="G576" s="2">
        <v>60</v>
      </c>
      <c r="H576" s="2" t="s">
        <v>21</v>
      </c>
      <c r="I576" s="2">
        <v>2</v>
      </c>
      <c r="J576" s="2">
        <v>50</v>
      </c>
      <c r="K576" s="2">
        <v>100</v>
      </c>
      <c r="M576" s="2">
        <v>100</v>
      </c>
      <c r="N576" t="str" cm="1">
        <f t="array" ref="N576">IF(M576=Table5[[#This Row],[Total Amount]],"Correct",Check)</f>
        <v>Correct</v>
      </c>
    </row>
    <row r="577" spans="3:14" x14ac:dyDescent="0.25">
      <c r="C577" s="2">
        <v>576</v>
      </c>
      <c r="D577" s="10">
        <v>45264</v>
      </c>
      <c r="E577" s="2" t="s">
        <v>596</v>
      </c>
      <c r="F577" s="2" t="s">
        <v>20</v>
      </c>
      <c r="G577" s="2">
        <v>33</v>
      </c>
      <c r="H577" s="2" t="s">
        <v>18</v>
      </c>
      <c r="I577" s="2">
        <v>3</v>
      </c>
      <c r="J577" s="2">
        <v>50</v>
      </c>
      <c r="K577" s="2">
        <v>150</v>
      </c>
      <c r="M577" s="2">
        <v>150</v>
      </c>
      <c r="N577" t="str" cm="1">
        <f t="array" ref="N577">IF(M577=Table5[[#This Row],[Total Amount]],"Correct",Check)</f>
        <v>Correct</v>
      </c>
    </row>
    <row r="578" spans="3:14" x14ac:dyDescent="0.25">
      <c r="C578" s="2">
        <v>577</v>
      </c>
      <c r="D578" s="10">
        <v>44970</v>
      </c>
      <c r="E578" s="2" t="s">
        <v>597</v>
      </c>
      <c r="F578" s="2" t="s">
        <v>17</v>
      </c>
      <c r="G578" s="2">
        <v>21</v>
      </c>
      <c r="H578" s="2" t="s">
        <v>18</v>
      </c>
      <c r="I578" s="2">
        <v>4</v>
      </c>
      <c r="J578" s="2">
        <v>500</v>
      </c>
      <c r="K578" s="2">
        <v>2000</v>
      </c>
      <c r="M578" s="2">
        <v>2000</v>
      </c>
      <c r="N578" t="str" cm="1">
        <f t="array" ref="N578">IF(M578=Table5[[#This Row],[Total Amount]],"Correct",Check)</f>
        <v>Correct</v>
      </c>
    </row>
    <row r="579" spans="3:14" x14ac:dyDescent="0.25">
      <c r="C579" s="2">
        <v>578</v>
      </c>
      <c r="D579" s="10">
        <v>45072</v>
      </c>
      <c r="E579" s="2" t="s">
        <v>598</v>
      </c>
      <c r="F579" s="2" t="s">
        <v>20</v>
      </c>
      <c r="G579" s="2">
        <v>54</v>
      </c>
      <c r="H579" s="2" t="s">
        <v>21</v>
      </c>
      <c r="I579" s="2">
        <v>4</v>
      </c>
      <c r="J579" s="2">
        <v>30</v>
      </c>
      <c r="K579" s="2">
        <v>120</v>
      </c>
      <c r="M579" s="2">
        <v>120</v>
      </c>
      <c r="N579" t="str" cm="1">
        <f t="array" ref="N579">IF(M579=Table5[[#This Row],[Total Amount]],"Correct",Check)</f>
        <v>Correct</v>
      </c>
    </row>
    <row r="580" spans="3:14" x14ac:dyDescent="0.25">
      <c r="C580" s="2">
        <v>579</v>
      </c>
      <c r="D580" s="10">
        <v>45190</v>
      </c>
      <c r="E580" s="2" t="s">
        <v>599</v>
      </c>
      <c r="F580" s="2" t="s">
        <v>20</v>
      </c>
      <c r="G580" s="2">
        <v>38</v>
      </c>
      <c r="H580" s="2" t="s">
        <v>23</v>
      </c>
      <c r="I580" s="2">
        <v>1</v>
      </c>
      <c r="J580" s="2">
        <v>30</v>
      </c>
      <c r="K580" s="2">
        <v>30</v>
      </c>
      <c r="M580" s="2">
        <v>30</v>
      </c>
      <c r="N580" t="str" cm="1">
        <f t="array" ref="N580">IF(M580=Table5[[#This Row],[Total Amount]],"Correct",Check)</f>
        <v>Correct</v>
      </c>
    </row>
    <row r="581" spans="3:14" x14ac:dyDescent="0.25">
      <c r="C581" s="2">
        <v>580</v>
      </c>
      <c r="D581" s="10">
        <v>45266</v>
      </c>
      <c r="E581" s="2" t="s">
        <v>600</v>
      </c>
      <c r="F581" s="2" t="s">
        <v>20</v>
      </c>
      <c r="G581" s="2">
        <v>31</v>
      </c>
      <c r="H581" s="2" t="s">
        <v>21</v>
      </c>
      <c r="I581" s="2">
        <v>3</v>
      </c>
      <c r="J581" s="2">
        <v>500</v>
      </c>
      <c r="K581" s="2">
        <v>1500</v>
      </c>
      <c r="M581" s="2">
        <v>1500</v>
      </c>
      <c r="N581" t="str" cm="1">
        <f t="array" ref="N581">IF(M581=Table5[[#This Row],[Total Amount]],"Correct",Check)</f>
        <v>Correct</v>
      </c>
    </row>
    <row r="582" spans="3:14" x14ac:dyDescent="0.25">
      <c r="C582" s="2">
        <v>581</v>
      </c>
      <c r="D582" s="10">
        <v>45251</v>
      </c>
      <c r="E582" s="2" t="s">
        <v>601</v>
      </c>
      <c r="F582" s="2" t="s">
        <v>20</v>
      </c>
      <c r="G582" s="2">
        <v>48</v>
      </c>
      <c r="H582" s="2" t="s">
        <v>18</v>
      </c>
      <c r="I582" s="2">
        <v>2</v>
      </c>
      <c r="J582" s="2">
        <v>30</v>
      </c>
      <c r="K582" s="2">
        <v>60</v>
      </c>
      <c r="M582" s="2">
        <v>60</v>
      </c>
      <c r="N582" t="str" cm="1">
        <f t="array" ref="N582">IF(M582=Table5[[#This Row],[Total Amount]],"Correct",Check)</f>
        <v>Correct</v>
      </c>
    </row>
    <row r="583" spans="3:14" x14ac:dyDescent="0.25">
      <c r="C583" s="2">
        <v>582</v>
      </c>
      <c r="D583" s="10">
        <v>45244</v>
      </c>
      <c r="E583" s="2" t="s">
        <v>602</v>
      </c>
      <c r="F583" s="2" t="s">
        <v>17</v>
      </c>
      <c r="G583" s="2">
        <v>35</v>
      </c>
      <c r="H583" s="2" t="s">
        <v>21</v>
      </c>
      <c r="I583" s="2">
        <v>3</v>
      </c>
      <c r="J583" s="2">
        <v>300</v>
      </c>
      <c r="K583" s="2">
        <v>900</v>
      </c>
      <c r="M583" s="2">
        <v>900</v>
      </c>
      <c r="N583" t="str" cm="1">
        <f t="array" ref="N583">IF(M583=Table5[[#This Row],[Total Amount]],"Correct",Check)</f>
        <v>Correct</v>
      </c>
    </row>
    <row r="584" spans="3:14" x14ac:dyDescent="0.25">
      <c r="C584" s="2">
        <v>583</v>
      </c>
      <c r="D584" s="10">
        <v>45098</v>
      </c>
      <c r="E584" s="2" t="s">
        <v>603</v>
      </c>
      <c r="F584" s="2" t="s">
        <v>20</v>
      </c>
      <c r="G584" s="2">
        <v>24</v>
      </c>
      <c r="H584" s="2" t="s">
        <v>23</v>
      </c>
      <c r="I584" s="2">
        <v>4</v>
      </c>
      <c r="J584" s="2">
        <v>25</v>
      </c>
      <c r="K584" s="2">
        <v>100</v>
      </c>
      <c r="M584" s="2">
        <v>100</v>
      </c>
      <c r="N584" t="str" cm="1">
        <f t="array" ref="N584">IF(M584=Table5[[#This Row],[Total Amount]],"Correct",Check)</f>
        <v>Correct</v>
      </c>
    </row>
    <row r="585" spans="3:14" x14ac:dyDescent="0.25">
      <c r="C585" s="2">
        <v>584</v>
      </c>
      <c r="D585" s="10">
        <v>44974</v>
      </c>
      <c r="E585" s="2" t="s">
        <v>604</v>
      </c>
      <c r="F585" s="2" t="s">
        <v>20</v>
      </c>
      <c r="G585" s="2">
        <v>27</v>
      </c>
      <c r="H585" s="2" t="s">
        <v>18</v>
      </c>
      <c r="I585" s="2">
        <v>4</v>
      </c>
      <c r="J585" s="2">
        <v>50</v>
      </c>
      <c r="K585" s="2">
        <v>200</v>
      </c>
      <c r="M585" s="2">
        <v>200</v>
      </c>
      <c r="N585" t="str" cm="1">
        <f t="array" ref="N585">IF(M585=Table5[[#This Row],[Total Amount]],"Correct",Check)</f>
        <v>Correct</v>
      </c>
    </row>
    <row r="586" spans="3:14" x14ac:dyDescent="0.25">
      <c r="C586" s="2">
        <v>585</v>
      </c>
      <c r="D586" s="10">
        <v>45047</v>
      </c>
      <c r="E586" s="2" t="s">
        <v>605</v>
      </c>
      <c r="F586" s="2" t="s">
        <v>20</v>
      </c>
      <c r="G586" s="2">
        <v>24</v>
      </c>
      <c r="H586" s="2" t="s">
        <v>21</v>
      </c>
      <c r="I586" s="2">
        <v>1</v>
      </c>
      <c r="J586" s="2">
        <v>25</v>
      </c>
      <c r="K586" s="2">
        <v>25</v>
      </c>
      <c r="M586" s="2">
        <v>25</v>
      </c>
      <c r="N586" t="str" cm="1">
        <f t="array" ref="N586">IF(M586=Table5[[#This Row],[Total Amount]],"Correct",Check)</f>
        <v>Correct</v>
      </c>
    </row>
    <row r="587" spans="3:14" x14ac:dyDescent="0.25">
      <c r="C587" s="2">
        <v>586</v>
      </c>
      <c r="D587" s="10">
        <v>45271</v>
      </c>
      <c r="E587" s="2" t="s">
        <v>606</v>
      </c>
      <c r="F587" s="2" t="s">
        <v>17</v>
      </c>
      <c r="G587" s="2">
        <v>50</v>
      </c>
      <c r="H587" s="2" t="s">
        <v>23</v>
      </c>
      <c r="I587" s="2">
        <v>1</v>
      </c>
      <c r="J587" s="2">
        <v>50</v>
      </c>
      <c r="K587" s="2">
        <v>50</v>
      </c>
      <c r="M587" s="2">
        <v>50</v>
      </c>
      <c r="N587" t="str" cm="1">
        <f t="array" ref="N587">IF(M587=Table5[[#This Row],[Total Amount]],"Correct",Check)</f>
        <v>Correct</v>
      </c>
    </row>
    <row r="588" spans="3:14" x14ac:dyDescent="0.25">
      <c r="C588" s="2">
        <v>587</v>
      </c>
      <c r="D588" s="10">
        <v>45085</v>
      </c>
      <c r="E588" s="2" t="s">
        <v>607</v>
      </c>
      <c r="F588" s="2" t="s">
        <v>20</v>
      </c>
      <c r="G588" s="2">
        <v>40</v>
      </c>
      <c r="H588" s="2" t="s">
        <v>18</v>
      </c>
      <c r="I588" s="2">
        <v>4</v>
      </c>
      <c r="J588" s="2">
        <v>300</v>
      </c>
      <c r="K588" s="2">
        <v>1200</v>
      </c>
      <c r="M588" s="2">
        <v>1200</v>
      </c>
      <c r="N588" t="str" cm="1">
        <f t="array" ref="N588">IF(M588=Table5[[#This Row],[Total Amount]],"Correct",Check)</f>
        <v>Correct</v>
      </c>
    </row>
    <row r="589" spans="3:14" x14ac:dyDescent="0.25">
      <c r="C589" s="2">
        <v>588</v>
      </c>
      <c r="D589" s="10">
        <v>45042</v>
      </c>
      <c r="E589" s="2" t="s">
        <v>608</v>
      </c>
      <c r="F589" s="2" t="s">
        <v>17</v>
      </c>
      <c r="G589" s="2">
        <v>38</v>
      </c>
      <c r="H589" s="2" t="s">
        <v>23</v>
      </c>
      <c r="I589" s="2">
        <v>2</v>
      </c>
      <c r="J589" s="2">
        <v>30</v>
      </c>
      <c r="K589" s="2">
        <v>60</v>
      </c>
      <c r="M589" s="2">
        <v>60</v>
      </c>
      <c r="N589" t="str" cm="1">
        <f t="array" ref="N589">IF(M589=Table5[[#This Row],[Total Amount]],"Correct",Check)</f>
        <v>Correct</v>
      </c>
    </row>
    <row r="590" spans="3:14" x14ac:dyDescent="0.25">
      <c r="C590" s="2">
        <v>589</v>
      </c>
      <c r="D590" s="10">
        <v>45028</v>
      </c>
      <c r="E590" s="2" t="s">
        <v>609</v>
      </c>
      <c r="F590" s="2" t="s">
        <v>20</v>
      </c>
      <c r="G590" s="2">
        <v>36</v>
      </c>
      <c r="H590" s="2" t="s">
        <v>18</v>
      </c>
      <c r="I590" s="2">
        <v>2</v>
      </c>
      <c r="J590" s="2">
        <v>500</v>
      </c>
      <c r="K590" s="2">
        <v>1000</v>
      </c>
      <c r="M590" s="2">
        <v>1000</v>
      </c>
      <c r="N590" t="str" cm="1">
        <f t="array" ref="N590">IF(M590=Table5[[#This Row],[Total Amount]],"Correct",Check)</f>
        <v>Correct</v>
      </c>
    </row>
    <row r="591" spans="3:14" x14ac:dyDescent="0.25">
      <c r="C591" s="2">
        <v>590</v>
      </c>
      <c r="D591" s="10">
        <v>45002</v>
      </c>
      <c r="E591" s="2" t="s">
        <v>610</v>
      </c>
      <c r="F591" s="2" t="s">
        <v>17</v>
      </c>
      <c r="G591" s="2">
        <v>36</v>
      </c>
      <c r="H591" s="2" t="s">
        <v>21</v>
      </c>
      <c r="I591" s="2">
        <v>3</v>
      </c>
      <c r="J591" s="2">
        <v>300</v>
      </c>
      <c r="K591" s="2">
        <v>900</v>
      </c>
      <c r="M591" s="2">
        <v>900</v>
      </c>
      <c r="N591" t="str" cm="1">
        <f t="array" ref="N591">IF(M591=Table5[[#This Row],[Total Amount]],"Correct",Check)</f>
        <v>Correct</v>
      </c>
    </row>
    <row r="592" spans="3:14" x14ac:dyDescent="0.25">
      <c r="C592" s="2">
        <v>591</v>
      </c>
      <c r="D592" s="10">
        <v>44939</v>
      </c>
      <c r="E592" s="2" t="s">
        <v>611</v>
      </c>
      <c r="F592" s="2" t="s">
        <v>17</v>
      </c>
      <c r="G592" s="2">
        <v>53</v>
      </c>
      <c r="H592" s="2" t="s">
        <v>23</v>
      </c>
      <c r="I592" s="2">
        <v>4</v>
      </c>
      <c r="J592" s="2">
        <v>25</v>
      </c>
      <c r="K592" s="2">
        <v>100</v>
      </c>
      <c r="M592" s="2">
        <v>100</v>
      </c>
      <c r="N592" t="str" cm="1">
        <f t="array" ref="N592">IF(M592=Table5[[#This Row],[Total Amount]],"Correct",Check)</f>
        <v>Correct</v>
      </c>
    </row>
    <row r="593" spans="3:14" x14ac:dyDescent="0.25">
      <c r="C593" s="2">
        <v>592</v>
      </c>
      <c r="D593" s="10">
        <v>44950</v>
      </c>
      <c r="E593" s="2" t="s">
        <v>612</v>
      </c>
      <c r="F593" s="2" t="s">
        <v>20</v>
      </c>
      <c r="G593" s="2">
        <v>46</v>
      </c>
      <c r="H593" s="2" t="s">
        <v>18</v>
      </c>
      <c r="I593" s="2">
        <v>4</v>
      </c>
      <c r="J593" s="2">
        <v>500</v>
      </c>
      <c r="K593" s="2">
        <v>2000</v>
      </c>
      <c r="M593" s="2">
        <v>2000</v>
      </c>
      <c r="N593" t="str" cm="1">
        <f t="array" ref="N593">IF(M593=Table5[[#This Row],[Total Amount]],"Correct",Check)</f>
        <v>Correct</v>
      </c>
    </row>
    <row r="594" spans="3:14" x14ac:dyDescent="0.25">
      <c r="C594" s="2">
        <v>593</v>
      </c>
      <c r="D594" s="10">
        <v>45052</v>
      </c>
      <c r="E594" s="2" t="s">
        <v>613</v>
      </c>
      <c r="F594" s="2" t="s">
        <v>17</v>
      </c>
      <c r="G594" s="2">
        <v>35</v>
      </c>
      <c r="H594" s="2" t="s">
        <v>23</v>
      </c>
      <c r="I594" s="2">
        <v>2</v>
      </c>
      <c r="J594" s="2">
        <v>30</v>
      </c>
      <c r="K594" s="2">
        <v>60</v>
      </c>
      <c r="M594" s="2">
        <v>60</v>
      </c>
      <c r="N594" t="str" cm="1">
        <f t="array" ref="N594">IF(M594=Table5[[#This Row],[Total Amount]],"Correct",Check)</f>
        <v>Correct</v>
      </c>
    </row>
    <row r="595" spans="3:14" x14ac:dyDescent="0.25">
      <c r="C595" s="2">
        <v>594</v>
      </c>
      <c r="D595" s="10">
        <v>45170</v>
      </c>
      <c r="E595" s="2" t="s">
        <v>614</v>
      </c>
      <c r="F595" s="2" t="s">
        <v>20</v>
      </c>
      <c r="G595" s="2">
        <v>19</v>
      </c>
      <c r="H595" s="2" t="s">
        <v>23</v>
      </c>
      <c r="I595" s="2">
        <v>2</v>
      </c>
      <c r="J595" s="2">
        <v>300</v>
      </c>
      <c r="K595" s="2">
        <v>600</v>
      </c>
      <c r="M595" s="2">
        <v>600</v>
      </c>
      <c r="N595" t="str" cm="1">
        <f t="array" ref="N595">IF(M595=Table5[[#This Row],[Total Amount]],"Correct",Check)</f>
        <v>Correct</v>
      </c>
    </row>
    <row r="596" spans="3:14" x14ac:dyDescent="0.25">
      <c r="C596" s="2">
        <v>595</v>
      </c>
      <c r="D596" s="10">
        <v>45239</v>
      </c>
      <c r="E596" s="2" t="s">
        <v>615</v>
      </c>
      <c r="F596" s="2" t="s">
        <v>20</v>
      </c>
      <c r="G596" s="2">
        <v>18</v>
      </c>
      <c r="H596" s="2" t="s">
        <v>21</v>
      </c>
      <c r="I596" s="2">
        <v>4</v>
      </c>
      <c r="J596" s="2">
        <v>500</v>
      </c>
      <c r="K596" s="2">
        <v>2000</v>
      </c>
      <c r="M596" s="2">
        <v>2000</v>
      </c>
      <c r="N596" t="str" cm="1">
        <f t="array" ref="N596">IF(M596=Table5[[#This Row],[Total Amount]],"Correct",Check)</f>
        <v>Correct</v>
      </c>
    </row>
    <row r="597" spans="3:14" x14ac:dyDescent="0.25">
      <c r="C597" s="2">
        <v>596</v>
      </c>
      <c r="D597" s="10">
        <v>44964</v>
      </c>
      <c r="E597" s="2" t="s">
        <v>616</v>
      </c>
      <c r="F597" s="2" t="s">
        <v>20</v>
      </c>
      <c r="G597" s="2">
        <v>64</v>
      </c>
      <c r="H597" s="2" t="s">
        <v>23</v>
      </c>
      <c r="I597" s="2">
        <v>1</v>
      </c>
      <c r="J597" s="2">
        <v>300</v>
      </c>
      <c r="K597" s="2">
        <v>300</v>
      </c>
      <c r="M597" s="2">
        <v>300</v>
      </c>
      <c r="N597" t="str" cm="1">
        <f t="array" ref="N597">IF(M597=Table5[[#This Row],[Total Amount]],"Correct",Check)</f>
        <v>Correct</v>
      </c>
    </row>
    <row r="598" spans="3:14" x14ac:dyDescent="0.25">
      <c r="C598" s="2">
        <v>597</v>
      </c>
      <c r="D598" s="10">
        <v>45160</v>
      </c>
      <c r="E598" s="2" t="s">
        <v>617</v>
      </c>
      <c r="F598" s="2" t="s">
        <v>17</v>
      </c>
      <c r="G598" s="2">
        <v>22</v>
      </c>
      <c r="H598" s="2" t="s">
        <v>18</v>
      </c>
      <c r="I598" s="2">
        <v>4</v>
      </c>
      <c r="J598" s="2">
        <v>300</v>
      </c>
      <c r="K598" s="2">
        <v>1200</v>
      </c>
      <c r="M598" s="2">
        <v>1200</v>
      </c>
      <c r="N598" t="str" cm="1">
        <f t="array" ref="N598">IF(M598=Table5[[#This Row],[Total Amount]],"Correct",Check)</f>
        <v>Correct</v>
      </c>
    </row>
    <row r="599" spans="3:14" x14ac:dyDescent="0.25">
      <c r="C599" s="2">
        <v>598</v>
      </c>
      <c r="D599" s="10">
        <v>45139</v>
      </c>
      <c r="E599" s="2" t="s">
        <v>618</v>
      </c>
      <c r="F599" s="2" t="s">
        <v>17</v>
      </c>
      <c r="G599" s="2">
        <v>37</v>
      </c>
      <c r="H599" s="2" t="s">
        <v>18</v>
      </c>
      <c r="I599" s="2">
        <v>4</v>
      </c>
      <c r="J599" s="2">
        <v>30</v>
      </c>
      <c r="K599" s="2">
        <v>120</v>
      </c>
      <c r="M599" s="2">
        <v>120</v>
      </c>
      <c r="N599" t="str" cm="1">
        <f t="array" ref="N599">IF(M599=Table5[[#This Row],[Total Amount]],"Correct",Check)</f>
        <v>Correct</v>
      </c>
    </row>
    <row r="600" spans="3:14" x14ac:dyDescent="0.25">
      <c r="C600" s="2">
        <v>599</v>
      </c>
      <c r="D600" s="10">
        <v>45249</v>
      </c>
      <c r="E600" s="2" t="s">
        <v>619</v>
      </c>
      <c r="F600" s="2" t="s">
        <v>20</v>
      </c>
      <c r="G600" s="2">
        <v>28</v>
      </c>
      <c r="H600" s="2" t="s">
        <v>18</v>
      </c>
      <c r="I600" s="2">
        <v>2</v>
      </c>
      <c r="J600" s="2">
        <v>50</v>
      </c>
      <c r="K600" s="2">
        <v>100</v>
      </c>
      <c r="M600" s="2">
        <v>100</v>
      </c>
      <c r="N600" t="str" cm="1">
        <f t="array" ref="N600">IF(M600=Table5[[#This Row],[Total Amount]],"Correct",Check)</f>
        <v>Correct</v>
      </c>
    </row>
    <row r="601" spans="3:14" x14ac:dyDescent="0.25">
      <c r="C601" s="2">
        <v>600</v>
      </c>
      <c r="D601" s="10">
        <v>45221</v>
      </c>
      <c r="E601" s="2" t="s">
        <v>620</v>
      </c>
      <c r="F601" s="2" t="s">
        <v>20</v>
      </c>
      <c r="G601" s="2">
        <v>59</v>
      </c>
      <c r="H601" s="2" t="s">
        <v>18</v>
      </c>
      <c r="I601" s="2">
        <v>2</v>
      </c>
      <c r="J601" s="2">
        <v>500</v>
      </c>
      <c r="K601" s="2">
        <v>1000</v>
      </c>
      <c r="M601" s="2">
        <v>1000</v>
      </c>
      <c r="N601" t="str" cm="1">
        <f t="array" ref="N601">IF(M601=Table5[[#This Row],[Total Amount]],"Correct",Check)</f>
        <v>Correct</v>
      </c>
    </row>
    <row r="602" spans="3:14" x14ac:dyDescent="0.25">
      <c r="C602" s="2">
        <v>601</v>
      </c>
      <c r="D602" s="10">
        <v>45026</v>
      </c>
      <c r="E602" s="2" t="s">
        <v>621</v>
      </c>
      <c r="F602" s="2" t="s">
        <v>17</v>
      </c>
      <c r="G602" s="2">
        <v>19</v>
      </c>
      <c r="H602" s="2" t="s">
        <v>21</v>
      </c>
      <c r="I602" s="2">
        <v>1</v>
      </c>
      <c r="J602" s="2">
        <v>30</v>
      </c>
      <c r="K602" s="2">
        <v>30</v>
      </c>
      <c r="M602" s="2">
        <v>30</v>
      </c>
      <c r="N602" t="str" cm="1">
        <f t="array" ref="N602">IF(M602=Table5[[#This Row],[Total Amount]],"Correct",Check)</f>
        <v>Correct</v>
      </c>
    </row>
    <row r="603" spans="3:14" x14ac:dyDescent="0.25">
      <c r="C603" s="2">
        <v>602</v>
      </c>
      <c r="D603" s="10">
        <v>45283</v>
      </c>
      <c r="E603" s="2" t="s">
        <v>622</v>
      </c>
      <c r="F603" s="2" t="s">
        <v>20</v>
      </c>
      <c r="G603" s="2">
        <v>20</v>
      </c>
      <c r="H603" s="2" t="s">
        <v>23</v>
      </c>
      <c r="I603" s="2">
        <v>1</v>
      </c>
      <c r="J603" s="2">
        <v>300</v>
      </c>
      <c r="K603" s="2">
        <v>300</v>
      </c>
      <c r="M603" s="2">
        <v>300</v>
      </c>
      <c r="N603" t="str" cm="1">
        <f t="array" ref="N603">IF(M603=Table5[[#This Row],[Total Amount]],"Correct",Check)</f>
        <v>Correct</v>
      </c>
    </row>
    <row r="604" spans="3:14" x14ac:dyDescent="0.25">
      <c r="C604" s="2">
        <v>603</v>
      </c>
      <c r="D604" s="10">
        <v>45123</v>
      </c>
      <c r="E604" s="2" t="s">
        <v>623</v>
      </c>
      <c r="F604" s="2" t="s">
        <v>20</v>
      </c>
      <c r="G604" s="2">
        <v>40</v>
      </c>
      <c r="H604" s="2" t="s">
        <v>21</v>
      </c>
      <c r="I604" s="2">
        <v>3</v>
      </c>
      <c r="J604" s="2">
        <v>30</v>
      </c>
      <c r="K604" s="2">
        <v>90</v>
      </c>
      <c r="M604" s="2">
        <v>90</v>
      </c>
      <c r="N604" t="str" cm="1">
        <f t="array" ref="N604">IF(M604=Table5[[#This Row],[Total Amount]],"Correct",Check)</f>
        <v>Correct</v>
      </c>
    </row>
    <row r="605" spans="3:14" x14ac:dyDescent="0.25">
      <c r="C605" s="2">
        <v>604</v>
      </c>
      <c r="D605" s="10">
        <v>45180</v>
      </c>
      <c r="E605" s="2" t="s">
        <v>624</v>
      </c>
      <c r="F605" s="2" t="s">
        <v>20</v>
      </c>
      <c r="G605" s="2">
        <v>29</v>
      </c>
      <c r="H605" s="2" t="s">
        <v>23</v>
      </c>
      <c r="I605" s="2">
        <v>4</v>
      </c>
      <c r="J605" s="2">
        <v>50</v>
      </c>
      <c r="K605" s="2">
        <v>200</v>
      </c>
      <c r="M605" s="2">
        <v>200</v>
      </c>
      <c r="N605" t="str" cm="1">
        <f t="array" ref="N605">IF(M605=Table5[[#This Row],[Total Amount]],"Correct",Check)</f>
        <v>Correct</v>
      </c>
    </row>
    <row r="606" spans="3:14" x14ac:dyDescent="0.25">
      <c r="C606" s="2">
        <v>605</v>
      </c>
      <c r="D606" s="10">
        <v>45131</v>
      </c>
      <c r="E606" s="2" t="s">
        <v>625</v>
      </c>
      <c r="F606" s="2" t="s">
        <v>17</v>
      </c>
      <c r="G606" s="2">
        <v>37</v>
      </c>
      <c r="H606" s="2" t="s">
        <v>23</v>
      </c>
      <c r="I606" s="2">
        <v>2</v>
      </c>
      <c r="J606" s="2">
        <v>500</v>
      </c>
      <c r="K606" s="2">
        <v>1000</v>
      </c>
      <c r="M606" s="2">
        <v>1000</v>
      </c>
      <c r="N606" t="str" cm="1">
        <f t="array" ref="N606">IF(M606=Table5[[#This Row],[Total Amount]],"Correct",Check)</f>
        <v>Correct</v>
      </c>
    </row>
    <row r="607" spans="3:14" x14ac:dyDescent="0.25">
      <c r="C607" s="2">
        <v>606</v>
      </c>
      <c r="D607" s="10">
        <v>45051</v>
      </c>
      <c r="E607" s="2" t="s">
        <v>626</v>
      </c>
      <c r="F607" s="2" t="s">
        <v>17</v>
      </c>
      <c r="G607" s="2">
        <v>22</v>
      </c>
      <c r="H607" s="2" t="s">
        <v>23</v>
      </c>
      <c r="I607" s="2">
        <v>1</v>
      </c>
      <c r="J607" s="2">
        <v>50</v>
      </c>
      <c r="K607" s="2">
        <v>50</v>
      </c>
      <c r="M607" s="2">
        <v>50</v>
      </c>
      <c r="N607" t="str" cm="1">
        <f t="array" ref="N607">IF(M607=Table5[[#This Row],[Total Amount]],"Correct",Check)</f>
        <v>Correct</v>
      </c>
    </row>
    <row r="608" spans="3:14" x14ac:dyDescent="0.25">
      <c r="C608" s="2">
        <v>607</v>
      </c>
      <c r="D608" s="10">
        <v>45002</v>
      </c>
      <c r="E608" s="2" t="s">
        <v>627</v>
      </c>
      <c r="F608" s="2" t="s">
        <v>17</v>
      </c>
      <c r="G608" s="2">
        <v>54</v>
      </c>
      <c r="H608" s="2" t="s">
        <v>21</v>
      </c>
      <c r="I608" s="2">
        <v>3</v>
      </c>
      <c r="J608" s="2">
        <v>25</v>
      </c>
      <c r="K608" s="2">
        <v>75</v>
      </c>
      <c r="M608" s="2">
        <v>75</v>
      </c>
      <c r="N608" t="str" cm="1">
        <f t="array" ref="N608">IF(M608=Table5[[#This Row],[Total Amount]],"Correct",Check)</f>
        <v>Correct</v>
      </c>
    </row>
    <row r="609" spans="3:14" x14ac:dyDescent="0.25">
      <c r="C609" s="2">
        <v>608</v>
      </c>
      <c r="D609" s="10">
        <v>45262</v>
      </c>
      <c r="E609" s="2" t="s">
        <v>628</v>
      </c>
      <c r="F609" s="2" t="s">
        <v>20</v>
      </c>
      <c r="G609" s="2">
        <v>55</v>
      </c>
      <c r="H609" s="2" t="s">
        <v>23</v>
      </c>
      <c r="I609" s="2">
        <v>3</v>
      </c>
      <c r="J609" s="2">
        <v>500</v>
      </c>
      <c r="K609" s="2">
        <v>1500</v>
      </c>
      <c r="M609" s="2">
        <v>1500</v>
      </c>
      <c r="N609" t="str" cm="1">
        <f t="array" ref="N609">IF(M609=Table5[[#This Row],[Total Amount]],"Correct",Check)</f>
        <v>Correct</v>
      </c>
    </row>
    <row r="610" spans="3:14" x14ac:dyDescent="0.25">
      <c r="C610" s="2">
        <v>609</v>
      </c>
      <c r="D610" s="10">
        <v>45279</v>
      </c>
      <c r="E610" s="2" t="s">
        <v>629</v>
      </c>
      <c r="F610" s="2" t="s">
        <v>20</v>
      </c>
      <c r="G610" s="2">
        <v>47</v>
      </c>
      <c r="H610" s="2" t="s">
        <v>21</v>
      </c>
      <c r="I610" s="2">
        <v>2</v>
      </c>
      <c r="J610" s="2">
        <v>50</v>
      </c>
      <c r="K610" s="2">
        <v>100</v>
      </c>
      <c r="M610" s="2">
        <v>100</v>
      </c>
      <c r="N610" t="str" cm="1">
        <f t="array" ref="N610">IF(M610=Table5[[#This Row],[Total Amount]],"Correct",Check)</f>
        <v>Correct</v>
      </c>
    </row>
    <row r="611" spans="3:14" x14ac:dyDescent="0.25">
      <c r="C611" s="2">
        <v>610</v>
      </c>
      <c r="D611" s="10">
        <v>44929</v>
      </c>
      <c r="E611" s="2" t="s">
        <v>630</v>
      </c>
      <c r="F611" s="2" t="s">
        <v>20</v>
      </c>
      <c r="G611" s="2">
        <v>26</v>
      </c>
      <c r="H611" s="2" t="s">
        <v>18</v>
      </c>
      <c r="I611" s="2">
        <v>2</v>
      </c>
      <c r="J611" s="2">
        <v>300</v>
      </c>
      <c r="K611" s="2">
        <v>600</v>
      </c>
      <c r="M611" s="2">
        <v>600</v>
      </c>
      <c r="N611" t="str" cm="1">
        <f t="array" ref="N611">IF(M611=Table5[[#This Row],[Total Amount]],"Correct",Check)</f>
        <v>Correct</v>
      </c>
    </row>
    <row r="612" spans="3:14" x14ac:dyDescent="0.25">
      <c r="C612" s="2">
        <v>611</v>
      </c>
      <c r="D612" s="10">
        <v>44981</v>
      </c>
      <c r="E612" s="2" t="s">
        <v>631</v>
      </c>
      <c r="F612" s="2" t="s">
        <v>17</v>
      </c>
      <c r="G612" s="2">
        <v>51</v>
      </c>
      <c r="H612" s="2" t="s">
        <v>18</v>
      </c>
      <c r="I612" s="2">
        <v>3</v>
      </c>
      <c r="J612" s="2">
        <v>500</v>
      </c>
      <c r="K612" s="2">
        <v>1500</v>
      </c>
      <c r="M612" s="2">
        <v>1500</v>
      </c>
      <c r="N612" t="str" cm="1">
        <f t="array" ref="N612">IF(M612=Table5[[#This Row],[Total Amount]],"Correct",Check)</f>
        <v>Correct</v>
      </c>
    </row>
    <row r="613" spans="3:14" x14ac:dyDescent="0.25">
      <c r="C613" s="2">
        <v>612</v>
      </c>
      <c r="D613" s="10">
        <v>45144</v>
      </c>
      <c r="E613" s="2" t="s">
        <v>632</v>
      </c>
      <c r="F613" s="2" t="s">
        <v>20</v>
      </c>
      <c r="G613" s="2">
        <v>61</v>
      </c>
      <c r="H613" s="2" t="s">
        <v>23</v>
      </c>
      <c r="I613" s="2">
        <v>1</v>
      </c>
      <c r="J613" s="2">
        <v>500</v>
      </c>
      <c r="K613" s="2">
        <v>500</v>
      </c>
      <c r="M613" s="2">
        <v>500</v>
      </c>
      <c r="N613" t="str" cm="1">
        <f t="array" ref="N613">IF(M613=Table5[[#This Row],[Total Amount]],"Correct",Check)</f>
        <v>Correct</v>
      </c>
    </row>
    <row r="614" spans="3:14" x14ac:dyDescent="0.25">
      <c r="C614" s="2">
        <v>613</v>
      </c>
      <c r="D614" s="10">
        <v>45039</v>
      </c>
      <c r="E614" s="2" t="s">
        <v>633</v>
      </c>
      <c r="F614" s="2" t="s">
        <v>20</v>
      </c>
      <c r="G614" s="2">
        <v>52</v>
      </c>
      <c r="H614" s="2" t="s">
        <v>21</v>
      </c>
      <c r="I614" s="2">
        <v>3</v>
      </c>
      <c r="J614" s="2">
        <v>30</v>
      </c>
      <c r="K614" s="2">
        <v>90</v>
      </c>
      <c r="M614" s="2">
        <v>90</v>
      </c>
      <c r="N614" t="str" cm="1">
        <f t="array" ref="N614">IF(M614=Table5[[#This Row],[Total Amount]],"Correct",Check)</f>
        <v>Correct</v>
      </c>
    </row>
    <row r="615" spans="3:14" x14ac:dyDescent="0.25">
      <c r="C615" s="2">
        <v>614</v>
      </c>
      <c r="D615" s="10">
        <v>45017</v>
      </c>
      <c r="E615" s="2" t="s">
        <v>634</v>
      </c>
      <c r="F615" s="2" t="s">
        <v>20</v>
      </c>
      <c r="G615" s="2">
        <v>39</v>
      </c>
      <c r="H615" s="2" t="s">
        <v>18</v>
      </c>
      <c r="I615" s="2">
        <v>4</v>
      </c>
      <c r="J615" s="2">
        <v>300</v>
      </c>
      <c r="K615" s="2">
        <v>1200</v>
      </c>
      <c r="M615" s="2">
        <v>1200</v>
      </c>
      <c r="N615" t="str" cm="1">
        <f t="array" ref="N615">IF(M615=Table5[[#This Row],[Total Amount]],"Correct",Check)</f>
        <v>Correct</v>
      </c>
    </row>
    <row r="616" spans="3:14" x14ac:dyDescent="0.25">
      <c r="C616" s="2">
        <v>615</v>
      </c>
      <c r="D616" s="10">
        <v>45283</v>
      </c>
      <c r="E616" s="2" t="s">
        <v>635</v>
      </c>
      <c r="F616" s="2" t="s">
        <v>20</v>
      </c>
      <c r="G616" s="2">
        <v>61</v>
      </c>
      <c r="H616" s="2" t="s">
        <v>21</v>
      </c>
      <c r="I616" s="2">
        <v>4</v>
      </c>
      <c r="J616" s="2">
        <v>25</v>
      </c>
      <c r="K616" s="2">
        <v>100</v>
      </c>
      <c r="M616" s="2">
        <v>100</v>
      </c>
      <c r="N616" t="str" cm="1">
        <f t="array" ref="N616">IF(M616=Table5[[#This Row],[Total Amount]],"Correct",Check)</f>
        <v>Correct</v>
      </c>
    </row>
    <row r="617" spans="3:14" x14ac:dyDescent="0.25">
      <c r="C617" s="2">
        <v>616</v>
      </c>
      <c r="D617" s="10">
        <v>45192</v>
      </c>
      <c r="E617" s="2" t="s">
        <v>636</v>
      </c>
      <c r="F617" s="2" t="s">
        <v>17</v>
      </c>
      <c r="G617" s="2">
        <v>41</v>
      </c>
      <c r="H617" s="2" t="s">
        <v>21</v>
      </c>
      <c r="I617" s="2">
        <v>2</v>
      </c>
      <c r="J617" s="2">
        <v>50</v>
      </c>
      <c r="K617" s="2">
        <v>100</v>
      </c>
      <c r="M617" s="2">
        <v>100</v>
      </c>
      <c r="N617" t="str" cm="1">
        <f t="array" ref="N617">IF(M617=Table5[[#This Row],[Total Amount]],"Correct",Check)</f>
        <v>Correct</v>
      </c>
    </row>
    <row r="618" spans="3:14" x14ac:dyDescent="0.25">
      <c r="C618" s="2">
        <v>617</v>
      </c>
      <c r="D618" s="10">
        <v>45164</v>
      </c>
      <c r="E618" s="2" t="s">
        <v>637</v>
      </c>
      <c r="F618" s="2" t="s">
        <v>17</v>
      </c>
      <c r="G618" s="2">
        <v>34</v>
      </c>
      <c r="H618" s="2" t="s">
        <v>23</v>
      </c>
      <c r="I618" s="2">
        <v>1</v>
      </c>
      <c r="J618" s="2">
        <v>30</v>
      </c>
      <c r="K618" s="2">
        <v>30</v>
      </c>
      <c r="M618" s="2">
        <v>30</v>
      </c>
      <c r="N618" t="str" cm="1">
        <f t="array" ref="N618">IF(M618=Table5[[#This Row],[Total Amount]],"Correct",Check)</f>
        <v>Correct</v>
      </c>
    </row>
    <row r="619" spans="3:14" x14ac:dyDescent="0.25">
      <c r="C619" s="2">
        <v>618</v>
      </c>
      <c r="D619" s="10">
        <v>44952</v>
      </c>
      <c r="E619" s="2" t="s">
        <v>638</v>
      </c>
      <c r="F619" s="2" t="s">
        <v>20</v>
      </c>
      <c r="G619" s="2">
        <v>27</v>
      </c>
      <c r="H619" s="2" t="s">
        <v>18</v>
      </c>
      <c r="I619" s="2">
        <v>1</v>
      </c>
      <c r="J619" s="2">
        <v>50</v>
      </c>
      <c r="K619" s="2">
        <v>50</v>
      </c>
      <c r="M619" s="2">
        <v>50</v>
      </c>
      <c r="N619" t="str" cm="1">
        <f t="array" ref="N619">IF(M619=Table5[[#This Row],[Total Amount]],"Correct",Check)</f>
        <v>Correct</v>
      </c>
    </row>
    <row r="620" spans="3:14" x14ac:dyDescent="0.25">
      <c r="C620" s="2">
        <v>619</v>
      </c>
      <c r="D620" s="10">
        <v>45212</v>
      </c>
      <c r="E620" s="2" t="s">
        <v>639</v>
      </c>
      <c r="F620" s="2" t="s">
        <v>17</v>
      </c>
      <c r="G620" s="2">
        <v>47</v>
      </c>
      <c r="H620" s="2" t="s">
        <v>23</v>
      </c>
      <c r="I620" s="2">
        <v>4</v>
      </c>
      <c r="J620" s="2">
        <v>25</v>
      </c>
      <c r="K620" s="2">
        <v>100</v>
      </c>
      <c r="M620" s="2">
        <v>100</v>
      </c>
      <c r="N620" t="str" cm="1">
        <f t="array" ref="N620">IF(M620=Table5[[#This Row],[Total Amount]],"Correct",Check)</f>
        <v>Correct</v>
      </c>
    </row>
    <row r="621" spans="3:14" x14ac:dyDescent="0.25">
      <c r="C621" s="2">
        <v>620</v>
      </c>
      <c r="D621" s="10">
        <v>45054</v>
      </c>
      <c r="E621" s="2" t="s">
        <v>640</v>
      </c>
      <c r="F621" s="2" t="s">
        <v>17</v>
      </c>
      <c r="G621" s="2">
        <v>63</v>
      </c>
      <c r="H621" s="2" t="s">
        <v>23</v>
      </c>
      <c r="I621" s="2">
        <v>3</v>
      </c>
      <c r="J621" s="2">
        <v>25</v>
      </c>
      <c r="K621" s="2">
        <v>75</v>
      </c>
      <c r="M621" s="2">
        <v>75</v>
      </c>
      <c r="N621" t="str" cm="1">
        <f t="array" ref="N621">IF(M621=Table5[[#This Row],[Total Amount]],"Correct",Check)</f>
        <v>Correct</v>
      </c>
    </row>
    <row r="622" spans="3:14" x14ac:dyDescent="0.25">
      <c r="C622" s="2">
        <v>621</v>
      </c>
      <c r="D622" s="10">
        <v>44989</v>
      </c>
      <c r="E622" s="2" t="s">
        <v>641</v>
      </c>
      <c r="F622" s="2" t="s">
        <v>20</v>
      </c>
      <c r="G622" s="2">
        <v>40</v>
      </c>
      <c r="H622" s="2" t="s">
        <v>18</v>
      </c>
      <c r="I622" s="2">
        <v>2</v>
      </c>
      <c r="J622" s="2">
        <v>500</v>
      </c>
      <c r="K622" s="2">
        <v>1000</v>
      </c>
      <c r="M622" s="2">
        <v>1000</v>
      </c>
      <c r="N622" t="str" cm="1">
        <f t="array" ref="N622">IF(M622=Table5[[#This Row],[Total Amount]],"Correct",Check)</f>
        <v>Correct</v>
      </c>
    </row>
    <row r="623" spans="3:14" x14ac:dyDescent="0.25">
      <c r="C623" s="2">
        <v>622</v>
      </c>
      <c r="D623" s="10">
        <v>45160</v>
      </c>
      <c r="E623" s="2" t="s">
        <v>642</v>
      </c>
      <c r="F623" s="2" t="s">
        <v>20</v>
      </c>
      <c r="G623" s="2">
        <v>49</v>
      </c>
      <c r="H623" s="2" t="s">
        <v>18</v>
      </c>
      <c r="I623" s="2">
        <v>3</v>
      </c>
      <c r="J623" s="2">
        <v>25</v>
      </c>
      <c r="K623" s="2">
        <v>75</v>
      </c>
      <c r="M623" s="2">
        <v>75</v>
      </c>
      <c r="N623" t="str" cm="1">
        <f t="array" ref="N623">IF(M623=Table5[[#This Row],[Total Amount]],"Correct",Check)</f>
        <v>Correct</v>
      </c>
    </row>
    <row r="624" spans="3:14" x14ac:dyDescent="0.25">
      <c r="C624" s="2">
        <v>623</v>
      </c>
      <c r="D624" s="10">
        <v>44995</v>
      </c>
      <c r="E624" s="2" t="s">
        <v>643</v>
      </c>
      <c r="F624" s="2" t="s">
        <v>17</v>
      </c>
      <c r="G624" s="2">
        <v>34</v>
      </c>
      <c r="H624" s="2" t="s">
        <v>21</v>
      </c>
      <c r="I624" s="2">
        <v>3</v>
      </c>
      <c r="J624" s="2">
        <v>50</v>
      </c>
      <c r="K624" s="2">
        <v>150</v>
      </c>
      <c r="M624" s="2">
        <v>150</v>
      </c>
      <c r="N624" t="str" cm="1">
        <f t="array" ref="N624">IF(M624=Table5[[#This Row],[Total Amount]],"Correct",Check)</f>
        <v>Correct</v>
      </c>
    </row>
    <row r="625" spans="3:14" x14ac:dyDescent="0.25">
      <c r="C625" s="2">
        <v>624</v>
      </c>
      <c r="D625" s="10">
        <v>45164</v>
      </c>
      <c r="E625" s="2" t="s">
        <v>644</v>
      </c>
      <c r="F625" s="2" t="s">
        <v>20</v>
      </c>
      <c r="G625" s="2">
        <v>34</v>
      </c>
      <c r="H625" s="2" t="s">
        <v>18</v>
      </c>
      <c r="I625" s="2">
        <v>3</v>
      </c>
      <c r="J625" s="2">
        <v>300</v>
      </c>
      <c r="K625" s="2">
        <v>900</v>
      </c>
      <c r="M625" s="2">
        <v>900</v>
      </c>
      <c r="N625" t="str" cm="1">
        <f t="array" ref="N625">IF(M625=Table5[[#This Row],[Total Amount]],"Correct",Check)</f>
        <v>Correct</v>
      </c>
    </row>
    <row r="626" spans="3:14" x14ac:dyDescent="0.25">
      <c r="C626" s="2">
        <v>625</v>
      </c>
      <c r="D626" s="10">
        <v>45268</v>
      </c>
      <c r="E626" s="2" t="s">
        <v>645</v>
      </c>
      <c r="F626" s="2" t="s">
        <v>17</v>
      </c>
      <c r="G626" s="2">
        <v>31</v>
      </c>
      <c r="H626" s="2" t="s">
        <v>21</v>
      </c>
      <c r="I626" s="2">
        <v>1</v>
      </c>
      <c r="J626" s="2">
        <v>300</v>
      </c>
      <c r="K626" s="2">
        <v>300</v>
      </c>
      <c r="M626" s="2">
        <v>300</v>
      </c>
      <c r="N626" t="str" cm="1">
        <f t="array" ref="N626">IF(M626=Table5[[#This Row],[Total Amount]],"Correct",Check)</f>
        <v>Correct</v>
      </c>
    </row>
    <row r="627" spans="3:14" x14ac:dyDescent="0.25">
      <c r="C627" s="2">
        <v>626</v>
      </c>
      <c r="D627" s="10">
        <v>45198</v>
      </c>
      <c r="E627" s="2" t="s">
        <v>646</v>
      </c>
      <c r="F627" s="2" t="s">
        <v>20</v>
      </c>
      <c r="G627" s="2">
        <v>26</v>
      </c>
      <c r="H627" s="2" t="s">
        <v>21</v>
      </c>
      <c r="I627" s="2">
        <v>4</v>
      </c>
      <c r="J627" s="2">
        <v>500</v>
      </c>
      <c r="K627" s="2">
        <v>2000</v>
      </c>
      <c r="M627" s="2">
        <v>2000</v>
      </c>
      <c r="N627" t="str" cm="1">
        <f t="array" ref="N627">IF(M627=Table5[[#This Row],[Total Amount]],"Correct",Check)</f>
        <v>Correct</v>
      </c>
    </row>
    <row r="628" spans="3:14" x14ac:dyDescent="0.25">
      <c r="C628" s="2">
        <v>627</v>
      </c>
      <c r="D628" s="10">
        <v>45213</v>
      </c>
      <c r="E628" s="2" t="s">
        <v>647</v>
      </c>
      <c r="F628" s="2" t="s">
        <v>17</v>
      </c>
      <c r="G628" s="2">
        <v>57</v>
      </c>
      <c r="H628" s="2" t="s">
        <v>21</v>
      </c>
      <c r="I628" s="2">
        <v>1</v>
      </c>
      <c r="J628" s="2">
        <v>50</v>
      </c>
      <c r="K628" s="2">
        <v>50</v>
      </c>
      <c r="M628" s="2">
        <v>50</v>
      </c>
      <c r="N628" t="str" cm="1">
        <f t="array" ref="N628">IF(M628=Table5[[#This Row],[Total Amount]],"Correct",Check)</f>
        <v>Correct</v>
      </c>
    </row>
    <row r="629" spans="3:14" x14ac:dyDescent="0.25">
      <c r="C629" s="2">
        <v>628</v>
      </c>
      <c r="D629" s="10">
        <v>45231</v>
      </c>
      <c r="E629" s="2" t="s">
        <v>648</v>
      </c>
      <c r="F629" s="2" t="s">
        <v>20</v>
      </c>
      <c r="G629" s="2">
        <v>19</v>
      </c>
      <c r="H629" s="2" t="s">
        <v>18</v>
      </c>
      <c r="I629" s="2">
        <v>4</v>
      </c>
      <c r="J629" s="2">
        <v>50</v>
      </c>
      <c r="K629" s="2">
        <v>200</v>
      </c>
      <c r="M629" s="2">
        <v>200</v>
      </c>
      <c r="N629" t="str" cm="1">
        <f t="array" ref="N629">IF(M629=Table5[[#This Row],[Total Amount]],"Correct",Check)</f>
        <v>Correct</v>
      </c>
    </row>
    <row r="630" spans="3:14" x14ac:dyDescent="0.25">
      <c r="C630" s="2">
        <v>629</v>
      </c>
      <c r="D630" s="10">
        <v>45089</v>
      </c>
      <c r="E630" s="2" t="s">
        <v>649</v>
      </c>
      <c r="F630" s="2" t="s">
        <v>17</v>
      </c>
      <c r="G630" s="2">
        <v>62</v>
      </c>
      <c r="H630" s="2" t="s">
        <v>23</v>
      </c>
      <c r="I630" s="2">
        <v>2</v>
      </c>
      <c r="J630" s="2">
        <v>25</v>
      </c>
      <c r="K630" s="2">
        <v>50</v>
      </c>
      <c r="M630" s="2">
        <v>50</v>
      </c>
      <c r="N630" t="str" cm="1">
        <f t="array" ref="N630">IF(M630=Table5[[#This Row],[Total Amount]],"Correct",Check)</f>
        <v>Correct</v>
      </c>
    </row>
    <row r="631" spans="3:14" x14ac:dyDescent="0.25">
      <c r="C631" s="2">
        <v>630</v>
      </c>
      <c r="D631" s="10">
        <v>45153</v>
      </c>
      <c r="E631" s="2" t="s">
        <v>650</v>
      </c>
      <c r="F631" s="2" t="s">
        <v>17</v>
      </c>
      <c r="G631" s="2">
        <v>42</v>
      </c>
      <c r="H631" s="2" t="s">
        <v>21</v>
      </c>
      <c r="I631" s="2">
        <v>2</v>
      </c>
      <c r="J631" s="2">
        <v>50</v>
      </c>
      <c r="K631" s="2">
        <v>100</v>
      </c>
      <c r="M631" s="2">
        <v>100</v>
      </c>
      <c r="N631" t="str" cm="1">
        <f t="array" ref="N631">IF(M631=Table5[[#This Row],[Total Amount]],"Correct",Check)</f>
        <v>Correct</v>
      </c>
    </row>
    <row r="632" spans="3:14" x14ac:dyDescent="0.25">
      <c r="C632" s="2">
        <v>631</v>
      </c>
      <c r="D632" s="10">
        <v>45240</v>
      </c>
      <c r="E632" s="2" t="s">
        <v>651</v>
      </c>
      <c r="F632" s="2" t="s">
        <v>17</v>
      </c>
      <c r="G632" s="2">
        <v>56</v>
      </c>
      <c r="H632" s="2" t="s">
        <v>23</v>
      </c>
      <c r="I632" s="2">
        <v>3</v>
      </c>
      <c r="J632" s="2">
        <v>30</v>
      </c>
      <c r="K632" s="2">
        <v>90</v>
      </c>
      <c r="M632" s="2">
        <v>90</v>
      </c>
      <c r="N632" t="str" cm="1">
        <f t="array" ref="N632">IF(M632=Table5[[#This Row],[Total Amount]],"Correct",Check)</f>
        <v>Correct</v>
      </c>
    </row>
    <row r="633" spans="3:14" x14ac:dyDescent="0.25">
      <c r="C633" s="2">
        <v>632</v>
      </c>
      <c r="D633" s="10">
        <v>45185</v>
      </c>
      <c r="E633" s="2" t="s">
        <v>652</v>
      </c>
      <c r="F633" s="2" t="s">
        <v>20</v>
      </c>
      <c r="G633" s="2">
        <v>26</v>
      </c>
      <c r="H633" s="2" t="s">
        <v>23</v>
      </c>
      <c r="I633" s="2">
        <v>4</v>
      </c>
      <c r="J633" s="2">
        <v>25</v>
      </c>
      <c r="K633" s="2">
        <v>100</v>
      </c>
      <c r="M633" s="2">
        <v>100</v>
      </c>
      <c r="N633" t="str" cm="1">
        <f t="array" ref="N633">IF(M633=Table5[[#This Row],[Total Amount]],"Correct",Check)</f>
        <v>Correct</v>
      </c>
    </row>
    <row r="634" spans="3:14" x14ac:dyDescent="0.25">
      <c r="C634" s="2">
        <v>633</v>
      </c>
      <c r="D634" s="10">
        <v>45145</v>
      </c>
      <c r="E634" s="2" t="s">
        <v>653</v>
      </c>
      <c r="F634" s="2" t="s">
        <v>17</v>
      </c>
      <c r="G634" s="2">
        <v>39</v>
      </c>
      <c r="H634" s="2" t="s">
        <v>18</v>
      </c>
      <c r="I634" s="2">
        <v>4</v>
      </c>
      <c r="J634" s="2">
        <v>30</v>
      </c>
      <c r="K634" s="2">
        <v>120</v>
      </c>
      <c r="M634" s="2">
        <v>120</v>
      </c>
      <c r="N634" t="str" cm="1">
        <f t="array" ref="N634">IF(M634=Table5[[#This Row],[Total Amount]],"Correct",Check)</f>
        <v>Correct</v>
      </c>
    </row>
    <row r="635" spans="3:14" x14ac:dyDescent="0.25">
      <c r="C635" s="2">
        <v>634</v>
      </c>
      <c r="D635" s="10">
        <v>45207</v>
      </c>
      <c r="E635" s="2" t="s">
        <v>654</v>
      </c>
      <c r="F635" s="2" t="s">
        <v>17</v>
      </c>
      <c r="G635" s="2">
        <v>60</v>
      </c>
      <c r="H635" s="2" t="s">
        <v>23</v>
      </c>
      <c r="I635" s="2">
        <v>4</v>
      </c>
      <c r="J635" s="2">
        <v>500</v>
      </c>
      <c r="K635" s="2">
        <v>2000</v>
      </c>
      <c r="M635" s="2">
        <v>2000</v>
      </c>
      <c r="N635" t="str" cm="1">
        <f t="array" ref="N635">IF(M635=Table5[[#This Row],[Total Amount]],"Correct",Check)</f>
        <v>Correct</v>
      </c>
    </row>
    <row r="636" spans="3:14" x14ac:dyDescent="0.25">
      <c r="C636" s="2">
        <v>635</v>
      </c>
      <c r="D636" s="10">
        <v>45155</v>
      </c>
      <c r="E636" s="2" t="s">
        <v>655</v>
      </c>
      <c r="F636" s="2" t="s">
        <v>20</v>
      </c>
      <c r="G636" s="2">
        <v>63</v>
      </c>
      <c r="H636" s="2" t="s">
        <v>23</v>
      </c>
      <c r="I636" s="2">
        <v>3</v>
      </c>
      <c r="J636" s="2">
        <v>300</v>
      </c>
      <c r="K636" s="2">
        <v>900</v>
      </c>
      <c r="M636" s="2">
        <v>900</v>
      </c>
      <c r="N636" t="str" cm="1">
        <f t="array" ref="N636">IF(M636=Table5[[#This Row],[Total Amount]],"Correct",Check)</f>
        <v>Correct</v>
      </c>
    </row>
    <row r="637" spans="3:14" x14ac:dyDescent="0.25">
      <c r="C637" s="2">
        <v>636</v>
      </c>
      <c r="D637" s="10">
        <v>45008</v>
      </c>
      <c r="E637" s="2" t="s">
        <v>656</v>
      </c>
      <c r="F637" s="2" t="s">
        <v>20</v>
      </c>
      <c r="G637" s="2">
        <v>21</v>
      </c>
      <c r="H637" s="2" t="s">
        <v>18</v>
      </c>
      <c r="I637" s="2">
        <v>3</v>
      </c>
      <c r="J637" s="2">
        <v>500</v>
      </c>
      <c r="K637" s="2">
        <v>1500</v>
      </c>
      <c r="M637" s="2">
        <v>1500</v>
      </c>
      <c r="N637" t="str" cm="1">
        <f t="array" ref="N637">IF(M637=Table5[[#This Row],[Total Amount]],"Correct",Check)</f>
        <v>Correct</v>
      </c>
    </row>
    <row r="638" spans="3:14" x14ac:dyDescent="0.25">
      <c r="C638" s="2">
        <v>637</v>
      </c>
      <c r="D638" s="10">
        <v>45170</v>
      </c>
      <c r="E638" s="2" t="s">
        <v>657</v>
      </c>
      <c r="F638" s="2" t="s">
        <v>17</v>
      </c>
      <c r="G638" s="2">
        <v>43</v>
      </c>
      <c r="H638" s="2" t="s">
        <v>21</v>
      </c>
      <c r="I638" s="2">
        <v>2</v>
      </c>
      <c r="J638" s="2">
        <v>300</v>
      </c>
      <c r="K638" s="2">
        <v>600</v>
      </c>
      <c r="M638" s="2">
        <v>600</v>
      </c>
      <c r="N638" t="str" cm="1">
        <f t="array" ref="N638">IF(M638=Table5[[#This Row],[Total Amount]],"Correct",Check)</f>
        <v>Correct</v>
      </c>
    </row>
    <row r="639" spans="3:14" x14ac:dyDescent="0.25">
      <c r="C639" s="2">
        <v>638</v>
      </c>
      <c r="D639" s="10">
        <v>45157</v>
      </c>
      <c r="E639" s="2" t="s">
        <v>658</v>
      </c>
      <c r="F639" s="2" t="s">
        <v>17</v>
      </c>
      <c r="G639" s="2">
        <v>46</v>
      </c>
      <c r="H639" s="2" t="s">
        <v>23</v>
      </c>
      <c r="I639" s="2">
        <v>1</v>
      </c>
      <c r="J639" s="2">
        <v>500</v>
      </c>
      <c r="K639" s="2">
        <v>500</v>
      </c>
      <c r="M639" s="2">
        <v>500</v>
      </c>
      <c r="N639" t="str" cm="1">
        <f t="array" ref="N639">IF(M639=Table5[[#This Row],[Total Amount]],"Correct",Check)</f>
        <v>Correct</v>
      </c>
    </row>
    <row r="640" spans="3:14" x14ac:dyDescent="0.25">
      <c r="C640" s="2">
        <v>639</v>
      </c>
      <c r="D640" s="10">
        <v>45059</v>
      </c>
      <c r="E640" s="2" t="s">
        <v>659</v>
      </c>
      <c r="F640" s="2" t="s">
        <v>20</v>
      </c>
      <c r="G640" s="2">
        <v>62</v>
      </c>
      <c r="H640" s="2" t="s">
        <v>18</v>
      </c>
      <c r="I640" s="2">
        <v>4</v>
      </c>
      <c r="J640" s="2">
        <v>50</v>
      </c>
      <c r="K640" s="2">
        <v>200</v>
      </c>
      <c r="M640" s="2">
        <v>200</v>
      </c>
      <c r="N640" t="str" cm="1">
        <f t="array" ref="N640">IF(M640=Table5[[#This Row],[Total Amount]],"Correct",Check)</f>
        <v>Correct</v>
      </c>
    </row>
    <row r="641" spans="3:14" x14ac:dyDescent="0.25">
      <c r="C641" s="2">
        <v>640</v>
      </c>
      <c r="D641" s="10">
        <v>45053</v>
      </c>
      <c r="E641" s="2" t="s">
        <v>660</v>
      </c>
      <c r="F641" s="2" t="s">
        <v>20</v>
      </c>
      <c r="G641" s="2">
        <v>51</v>
      </c>
      <c r="H641" s="2" t="s">
        <v>23</v>
      </c>
      <c r="I641" s="2">
        <v>4</v>
      </c>
      <c r="J641" s="2">
        <v>30</v>
      </c>
      <c r="K641" s="2">
        <v>120</v>
      </c>
      <c r="M641" s="2">
        <v>120</v>
      </c>
      <c r="N641" t="str" cm="1">
        <f t="array" ref="N641">IF(M641=Table5[[#This Row],[Total Amount]],"Correct",Check)</f>
        <v>Correct</v>
      </c>
    </row>
    <row r="642" spans="3:14" x14ac:dyDescent="0.25">
      <c r="C642" s="2">
        <v>641</v>
      </c>
      <c r="D642" s="10">
        <v>45253</v>
      </c>
      <c r="E642" s="2" t="s">
        <v>661</v>
      </c>
      <c r="F642" s="2" t="s">
        <v>20</v>
      </c>
      <c r="G642" s="2">
        <v>40</v>
      </c>
      <c r="H642" s="2" t="s">
        <v>23</v>
      </c>
      <c r="I642" s="2">
        <v>1</v>
      </c>
      <c r="J642" s="2">
        <v>300</v>
      </c>
      <c r="K642" s="2">
        <v>300</v>
      </c>
      <c r="M642" s="2">
        <v>300</v>
      </c>
      <c r="N642" t="str" cm="1">
        <f t="array" ref="N642">IF(M642=Table5[[#This Row],[Total Amount]],"Correct",Check)</f>
        <v>Correct</v>
      </c>
    </row>
    <row r="643" spans="3:14" x14ac:dyDescent="0.25">
      <c r="C643" s="2">
        <v>642</v>
      </c>
      <c r="D643" s="10">
        <v>45068</v>
      </c>
      <c r="E643" s="2" t="s">
        <v>662</v>
      </c>
      <c r="F643" s="2" t="s">
        <v>20</v>
      </c>
      <c r="G643" s="2">
        <v>54</v>
      </c>
      <c r="H643" s="2" t="s">
        <v>21</v>
      </c>
      <c r="I643" s="2">
        <v>4</v>
      </c>
      <c r="J643" s="2">
        <v>25</v>
      </c>
      <c r="K643" s="2">
        <v>100</v>
      </c>
      <c r="M643" s="2">
        <v>100</v>
      </c>
      <c r="N643" t="str" cm="1">
        <f t="array" ref="N643">IF(M643=Table5[[#This Row],[Total Amount]],"Correct",Check)</f>
        <v>Correct</v>
      </c>
    </row>
    <row r="644" spans="3:14" x14ac:dyDescent="0.25">
      <c r="C644" s="2">
        <v>643</v>
      </c>
      <c r="D644" s="10">
        <v>45193</v>
      </c>
      <c r="E644" s="2" t="s">
        <v>663</v>
      </c>
      <c r="F644" s="2" t="s">
        <v>20</v>
      </c>
      <c r="G644" s="2">
        <v>28</v>
      </c>
      <c r="H644" s="2" t="s">
        <v>23</v>
      </c>
      <c r="I644" s="2">
        <v>3</v>
      </c>
      <c r="J644" s="2">
        <v>30</v>
      </c>
      <c r="K644" s="2">
        <v>90</v>
      </c>
      <c r="M644" s="2">
        <v>90</v>
      </c>
      <c r="N644" t="str" cm="1">
        <f t="array" ref="N644">IF(M644=Table5[[#This Row],[Total Amount]],"Correct",Check)</f>
        <v>Correct</v>
      </c>
    </row>
    <row r="645" spans="3:14" x14ac:dyDescent="0.25">
      <c r="C645" s="2">
        <v>644</v>
      </c>
      <c r="D645" s="10">
        <v>45175</v>
      </c>
      <c r="E645" s="2" t="s">
        <v>664</v>
      </c>
      <c r="F645" s="2" t="s">
        <v>17</v>
      </c>
      <c r="G645" s="2">
        <v>23</v>
      </c>
      <c r="H645" s="2" t="s">
        <v>18</v>
      </c>
      <c r="I645" s="2">
        <v>3</v>
      </c>
      <c r="J645" s="2">
        <v>25</v>
      </c>
      <c r="K645" s="2">
        <v>75</v>
      </c>
      <c r="M645" s="2">
        <v>75</v>
      </c>
      <c r="N645" t="str" cm="1">
        <f t="array" ref="N645">IF(M645=Table5[[#This Row],[Total Amount]],"Correct",Check)</f>
        <v>Correct</v>
      </c>
    </row>
    <row r="646" spans="3:14" x14ac:dyDescent="0.25">
      <c r="C646" s="2">
        <v>645</v>
      </c>
      <c r="D646" s="10">
        <v>45247</v>
      </c>
      <c r="E646" s="2" t="s">
        <v>665</v>
      </c>
      <c r="F646" s="2" t="s">
        <v>20</v>
      </c>
      <c r="G646" s="2">
        <v>35</v>
      </c>
      <c r="H646" s="2" t="s">
        <v>23</v>
      </c>
      <c r="I646" s="2">
        <v>4</v>
      </c>
      <c r="J646" s="2">
        <v>30</v>
      </c>
      <c r="K646" s="2">
        <v>120</v>
      </c>
      <c r="M646" s="2">
        <v>120</v>
      </c>
      <c r="N646" t="str" cm="1">
        <f t="array" ref="N646">IF(M646=Table5[[#This Row],[Total Amount]],"Correct",Check)</f>
        <v>Correct</v>
      </c>
    </row>
    <row r="647" spans="3:14" x14ac:dyDescent="0.25">
      <c r="C647" s="2">
        <v>646</v>
      </c>
      <c r="D647" s="10">
        <v>45049</v>
      </c>
      <c r="E647" s="2" t="s">
        <v>666</v>
      </c>
      <c r="F647" s="2" t="s">
        <v>17</v>
      </c>
      <c r="G647" s="2">
        <v>38</v>
      </c>
      <c r="H647" s="2" t="s">
        <v>21</v>
      </c>
      <c r="I647" s="2">
        <v>3</v>
      </c>
      <c r="J647" s="2">
        <v>30</v>
      </c>
      <c r="K647" s="2">
        <v>90</v>
      </c>
      <c r="M647" s="2">
        <v>90</v>
      </c>
      <c r="N647" t="str" cm="1">
        <f t="array" ref="N647">IF(M647=Table5[[#This Row],[Total Amount]],"Correct",Check)</f>
        <v>Correct</v>
      </c>
    </row>
    <row r="648" spans="3:14" x14ac:dyDescent="0.25">
      <c r="C648" s="2">
        <v>647</v>
      </c>
      <c r="D648" s="10">
        <v>45067</v>
      </c>
      <c r="E648" s="2" t="s">
        <v>667</v>
      </c>
      <c r="F648" s="2" t="s">
        <v>17</v>
      </c>
      <c r="G648" s="2">
        <v>59</v>
      </c>
      <c r="H648" s="2" t="s">
        <v>21</v>
      </c>
      <c r="I648" s="2">
        <v>3</v>
      </c>
      <c r="J648" s="2">
        <v>500</v>
      </c>
      <c r="K648" s="2">
        <v>1500</v>
      </c>
      <c r="M648" s="2">
        <v>1500</v>
      </c>
      <c r="N648" t="str" cm="1">
        <f t="array" ref="N648">IF(M648=Table5[[#This Row],[Total Amount]],"Correct",Check)</f>
        <v>Correct</v>
      </c>
    </row>
    <row r="649" spans="3:14" x14ac:dyDescent="0.25">
      <c r="C649" s="2">
        <v>648</v>
      </c>
      <c r="D649" s="10">
        <v>45152</v>
      </c>
      <c r="E649" s="2" t="s">
        <v>668</v>
      </c>
      <c r="F649" s="2" t="s">
        <v>17</v>
      </c>
      <c r="G649" s="2">
        <v>53</v>
      </c>
      <c r="H649" s="2" t="s">
        <v>18</v>
      </c>
      <c r="I649" s="2">
        <v>4</v>
      </c>
      <c r="J649" s="2">
        <v>300</v>
      </c>
      <c r="K649" s="2">
        <v>1200</v>
      </c>
      <c r="M649" s="2">
        <v>1200</v>
      </c>
      <c r="N649" t="str" cm="1">
        <f t="array" ref="N649">IF(M649=Table5[[#This Row],[Total Amount]],"Correct",Check)</f>
        <v>Correct</v>
      </c>
    </row>
    <row r="650" spans="3:14" x14ac:dyDescent="0.25">
      <c r="C650" s="2">
        <v>649</v>
      </c>
      <c r="D650" s="10">
        <v>44966</v>
      </c>
      <c r="E650" s="2" t="s">
        <v>669</v>
      </c>
      <c r="F650" s="2" t="s">
        <v>20</v>
      </c>
      <c r="G650" s="2">
        <v>58</v>
      </c>
      <c r="H650" s="2" t="s">
        <v>21</v>
      </c>
      <c r="I650" s="2">
        <v>2</v>
      </c>
      <c r="J650" s="2">
        <v>300</v>
      </c>
      <c r="K650" s="2">
        <v>600</v>
      </c>
      <c r="M650" s="2">
        <v>600</v>
      </c>
      <c r="N650" t="str" cm="1">
        <f t="array" ref="N650">IF(M650=Table5[[#This Row],[Total Amount]],"Correct",Check)</f>
        <v>Correct</v>
      </c>
    </row>
    <row r="651" spans="3:14" x14ac:dyDescent="0.25">
      <c r="C651" s="2">
        <v>650</v>
      </c>
      <c r="D651" s="10">
        <v>45292</v>
      </c>
      <c r="E651" s="2" t="s">
        <v>670</v>
      </c>
      <c r="F651" s="2" t="s">
        <v>17</v>
      </c>
      <c r="G651" s="2">
        <v>55</v>
      </c>
      <c r="H651" s="2" t="s">
        <v>23</v>
      </c>
      <c r="I651" s="2">
        <v>1</v>
      </c>
      <c r="J651" s="2">
        <v>30</v>
      </c>
      <c r="K651" s="2">
        <v>30</v>
      </c>
      <c r="M651" s="2">
        <v>30</v>
      </c>
      <c r="N651" t="str" cm="1">
        <f t="array" ref="N651">IF(M651=Table5[[#This Row],[Total Amount]],"Correct",Check)</f>
        <v>Correct</v>
      </c>
    </row>
    <row r="652" spans="3:14" x14ac:dyDescent="0.25">
      <c r="C652" s="2">
        <v>651</v>
      </c>
      <c r="D652" s="10">
        <v>45073</v>
      </c>
      <c r="E652" s="2" t="s">
        <v>671</v>
      </c>
      <c r="F652" s="2" t="s">
        <v>17</v>
      </c>
      <c r="G652" s="2">
        <v>51</v>
      </c>
      <c r="H652" s="2" t="s">
        <v>21</v>
      </c>
      <c r="I652" s="2">
        <v>3</v>
      </c>
      <c r="J652" s="2">
        <v>50</v>
      </c>
      <c r="K652" s="2">
        <v>150</v>
      </c>
      <c r="M652" s="2">
        <v>150</v>
      </c>
      <c r="N652" t="str" cm="1">
        <f t="array" ref="N652">IF(M652=Table5[[#This Row],[Total Amount]],"Correct",Check)</f>
        <v>Correct</v>
      </c>
    </row>
    <row r="653" spans="3:14" x14ac:dyDescent="0.25">
      <c r="C653" s="2">
        <v>652</v>
      </c>
      <c r="D653" s="10">
        <v>45047</v>
      </c>
      <c r="E653" s="2" t="s">
        <v>672</v>
      </c>
      <c r="F653" s="2" t="s">
        <v>20</v>
      </c>
      <c r="G653" s="2">
        <v>34</v>
      </c>
      <c r="H653" s="2" t="s">
        <v>18</v>
      </c>
      <c r="I653" s="2">
        <v>2</v>
      </c>
      <c r="J653" s="2">
        <v>50</v>
      </c>
      <c r="K653" s="2">
        <v>100</v>
      </c>
      <c r="M653" s="2">
        <v>100</v>
      </c>
      <c r="N653" t="str" cm="1">
        <f t="array" ref="N653">IF(M653=Table5[[#This Row],[Total Amount]],"Correct",Check)</f>
        <v>Correct</v>
      </c>
    </row>
    <row r="654" spans="3:14" x14ac:dyDescent="0.25">
      <c r="C654" s="2">
        <v>653</v>
      </c>
      <c r="D654" s="10">
        <v>45066</v>
      </c>
      <c r="E654" s="2" t="s">
        <v>673</v>
      </c>
      <c r="F654" s="2" t="s">
        <v>17</v>
      </c>
      <c r="G654" s="2">
        <v>54</v>
      </c>
      <c r="H654" s="2" t="s">
        <v>21</v>
      </c>
      <c r="I654" s="2">
        <v>3</v>
      </c>
      <c r="J654" s="2">
        <v>25</v>
      </c>
      <c r="K654" s="2">
        <v>75</v>
      </c>
      <c r="M654" s="2">
        <v>75</v>
      </c>
      <c r="N654" t="str" cm="1">
        <f t="array" ref="N654">IF(M654=Table5[[#This Row],[Total Amount]],"Correct",Check)</f>
        <v>Correct</v>
      </c>
    </row>
    <row r="655" spans="3:14" x14ac:dyDescent="0.25">
      <c r="C655" s="2">
        <v>654</v>
      </c>
      <c r="D655" s="10">
        <v>45098</v>
      </c>
      <c r="E655" s="2" t="s">
        <v>674</v>
      </c>
      <c r="F655" s="2" t="s">
        <v>17</v>
      </c>
      <c r="G655" s="2">
        <v>42</v>
      </c>
      <c r="H655" s="2" t="s">
        <v>21</v>
      </c>
      <c r="I655" s="2">
        <v>3</v>
      </c>
      <c r="J655" s="2">
        <v>25</v>
      </c>
      <c r="K655" s="2">
        <v>75</v>
      </c>
      <c r="M655" s="2">
        <v>75</v>
      </c>
      <c r="N655" t="str" cm="1">
        <f t="array" ref="N655">IF(M655=Table5[[#This Row],[Total Amount]],"Correct",Check)</f>
        <v>Correct</v>
      </c>
    </row>
    <row r="656" spans="3:14" x14ac:dyDescent="0.25">
      <c r="C656" s="2">
        <v>655</v>
      </c>
      <c r="D656" s="10">
        <v>45090</v>
      </c>
      <c r="E656" s="2" t="s">
        <v>675</v>
      </c>
      <c r="F656" s="2" t="s">
        <v>20</v>
      </c>
      <c r="G656" s="2">
        <v>55</v>
      </c>
      <c r="H656" s="2" t="s">
        <v>21</v>
      </c>
      <c r="I656" s="2">
        <v>1</v>
      </c>
      <c r="J656" s="2">
        <v>500</v>
      </c>
      <c r="K656" s="2">
        <v>500</v>
      </c>
      <c r="M656" s="2">
        <v>500</v>
      </c>
      <c r="N656" t="str" cm="1">
        <f t="array" ref="N656">IF(M656=Table5[[#This Row],[Total Amount]],"Correct",Check)</f>
        <v>Correct</v>
      </c>
    </row>
    <row r="657" spans="3:14" x14ac:dyDescent="0.25">
      <c r="C657" s="2">
        <v>656</v>
      </c>
      <c r="D657" s="10">
        <v>45203</v>
      </c>
      <c r="E657" s="2" t="s">
        <v>676</v>
      </c>
      <c r="F657" s="2" t="s">
        <v>17</v>
      </c>
      <c r="G657" s="2">
        <v>29</v>
      </c>
      <c r="H657" s="2" t="s">
        <v>18</v>
      </c>
      <c r="I657" s="2">
        <v>3</v>
      </c>
      <c r="J657" s="2">
        <v>30</v>
      </c>
      <c r="K657" s="2">
        <v>90</v>
      </c>
      <c r="M657" s="2">
        <v>90</v>
      </c>
      <c r="N657" t="str" cm="1">
        <f t="array" ref="N657">IF(M657=Table5[[#This Row],[Total Amount]],"Correct",Check)</f>
        <v>Correct</v>
      </c>
    </row>
    <row r="658" spans="3:14" x14ac:dyDescent="0.25">
      <c r="C658" s="2">
        <v>657</v>
      </c>
      <c r="D658" s="10">
        <v>44968</v>
      </c>
      <c r="E658" s="2" t="s">
        <v>677</v>
      </c>
      <c r="F658" s="2" t="s">
        <v>17</v>
      </c>
      <c r="G658" s="2">
        <v>40</v>
      </c>
      <c r="H658" s="2" t="s">
        <v>21</v>
      </c>
      <c r="I658" s="2">
        <v>1</v>
      </c>
      <c r="J658" s="2">
        <v>25</v>
      </c>
      <c r="K658" s="2">
        <v>25</v>
      </c>
      <c r="M658" s="2">
        <v>25</v>
      </c>
      <c r="N658" t="str" cm="1">
        <f t="array" ref="N658">IF(M658=Table5[[#This Row],[Total Amount]],"Correct",Check)</f>
        <v>Correct</v>
      </c>
    </row>
    <row r="659" spans="3:14" x14ac:dyDescent="0.25">
      <c r="C659" s="2">
        <v>658</v>
      </c>
      <c r="D659" s="10">
        <v>44997</v>
      </c>
      <c r="E659" s="2" t="s">
        <v>678</v>
      </c>
      <c r="F659" s="2" t="s">
        <v>17</v>
      </c>
      <c r="G659" s="2">
        <v>59</v>
      </c>
      <c r="H659" s="2" t="s">
        <v>21</v>
      </c>
      <c r="I659" s="2">
        <v>1</v>
      </c>
      <c r="J659" s="2">
        <v>25</v>
      </c>
      <c r="K659" s="2">
        <v>25</v>
      </c>
      <c r="M659" s="2">
        <v>25</v>
      </c>
      <c r="N659" t="str" cm="1">
        <f t="array" ref="N659">IF(M659=Table5[[#This Row],[Total Amount]],"Correct",Check)</f>
        <v>Correct</v>
      </c>
    </row>
    <row r="660" spans="3:14" x14ac:dyDescent="0.25">
      <c r="C660" s="2">
        <v>659</v>
      </c>
      <c r="D660" s="10">
        <v>45004</v>
      </c>
      <c r="E660" s="2" t="s">
        <v>679</v>
      </c>
      <c r="F660" s="2" t="s">
        <v>20</v>
      </c>
      <c r="G660" s="2">
        <v>39</v>
      </c>
      <c r="H660" s="2" t="s">
        <v>23</v>
      </c>
      <c r="I660" s="2">
        <v>1</v>
      </c>
      <c r="J660" s="2">
        <v>30</v>
      </c>
      <c r="K660" s="2">
        <v>30</v>
      </c>
      <c r="M660" s="2">
        <v>30</v>
      </c>
      <c r="N660" t="str" cm="1">
        <f t="array" ref="N660">IF(M660=Table5[[#This Row],[Total Amount]],"Correct",Check)</f>
        <v>Correct</v>
      </c>
    </row>
    <row r="661" spans="3:14" x14ac:dyDescent="0.25">
      <c r="C661" s="2">
        <v>660</v>
      </c>
      <c r="D661" s="10">
        <v>45045</v>
      </c>
      <c r="E661" s="2" t="s">
        <v>680</v>
      </c>
      <c r="F661" s="2" t="s">
        <v>20</v>
      </c>
      <c r="G661" s="2">
        <v>38</v>
      </c>
      <c r="H661" s="2" t="s">
        <v>18</v>
      </c>
      <c r="I661" s="2">
        <v>2</v>
      </c>
      <c r="J661" s="2">
        <v>500</v>
      </c>
      <c r="K661" s="2">
        <v>1000</v>
      </c>
      <c r="M661" s="2">
        <v>1000</v>
      </c>
      <c r="N661" t="str" cm="1">
        <f t="array" ref="N661">IF(M661=Table5[[#This Row],[Total Amount]],"Correct",Check)</f>
        <v>Correct</v>
      </c>
    </row>
    <row r="662" spans="3:14" x14ac:dyDescent="0.25">
      <c r="C662" s="2">
        <v>661</v>
      </c>
      <c r="D662" s="10">
        <v>45123</v>
      </c>
      <c r="E662" s="2" t="s">
        <v>681</v>
      </c>
      <c r="F662" s="2" t="s">
        <v>20</v>
      </c>
      <c r="G662" s="2">
        <v>44</v>
      </c>
      <c r="H662" s="2" t="s">
        <v>21</v>
      </c>
      <c r="I662" s="2">
        <v>4</v>
      </c>
      <c r="J662" s="2">
        <v>25</v>
      </c>
      <c r="K662" s="2">
        <v>100</v>
      </c>
      <c r="M662" s="2">
        <v>100</v>
      </c>
      <c r="N662" t="str" cm="1">
        <f t="array" ref="N662">IF(M662=Table5[[#This Row],[Total Amount]],"Correct",Check)</f>
        <v>Correct</v>
      </c>
    </row>
    <row r="663" spans="3:14" x14ac:dyDescent="0.25">
      <c r="C663" s="2">
        <v>662</v>
      </c>
      <c r="D663" s="10">
        <v>45282</v>
      </c>
      <c r="E663" s="2" t="s">
        <v>682</v>
      </c>
      <c r="F663" s="2" t="s">
        <v>17</v>
      </c>
      <c r="G663" s="2">
        <v>48</v>
      </c>
      <c r="H663" s="2" t="s">
        <v>18</v>
      </c>
      <c r="I663" s="2">
        <v>2</v>
      </c>
      <c r="J663" s="2">
        <v>500</v>
      </c>
      <c r="K663" s="2">
        <v>1000</v>
      </c>
      <c r="M663" s="2">
        <v>1000</v>
      </c>
      <c r="N663" t="str" cm="1">
        <f t="array" ref="N663">IF(M663=Table5[[#This Row],[Total Amount]],"Correct",Check)</f>
        <v>Correct</v>
      </c>
    </row>
    <row r="664" spans="3:14" x14ac:dyDescent="0.25">
      <c r="C664" s="2">
        <v>663</v>
      </c>
      <c r="D664" s="10">
        <v>45005</v>
      </c>
      <c r="E664" s="2" t="s">
        <v>683</v>
      </c>
      <c r="F664" s="2" t="s">
        <v>17</v>
      </c>
      <c r="G664" s="2">
        <v>23</v>
      </c>
      <c r="H664" s="2" t="s">
        <v>21</v>
      </c>
      <c r="I664" s="2">
        <v>4</v>
      </c>
      <c r="J664" s="2">
        <v>300</v>
      </c>
      <c r="K664" s="2">
        <v>1200</v>
      </c>
      <c r="M664" s="2">
        <v>1200</v>
      </c>
      <c r="N664" t="str" cm="1">
        <f t="array" ref="N664">IF(M664=Table5[[#This Row],[Total Amount]],"Correct",Check)</f>
        <v>Correct</v>
      </c>
    </row>
    <row r="665" spans="3:14" x14ac:dyDescent="0.25">
      <c r="C665" s="2">
        <v>664</v>
      </c>
      <c r="D665" s="10">
        <v>45288</v>
      </c>
      <c r="E665" s="2" t="s">
        <v>684</v>
      </c>
      <c r="F665" s="2" t="s">
        <v>20</v>
      </c>
      <c r="G665" s="2">
        <v>44</v>
      </c>
      <c r="H665" s="2" t="s">
        <v>21</v>
      </c>
      <c r="I665" s="2">
        <v>4</v>
      </c>
      <c r="J665" s="2">
        <v>500</v>
      </c>
      <c r="K665" s="2">
        <v>2000</v>
      </c>
      <c r="M665" s="2">
        <v>2000</v>
      </c>
      <c r="N665" t="str" cm="1">
        <f t="array" ref="N665">IF(M665=Table5[[#This Row],[Total Amount]],"Correct",Check)</f>
        <v>Correct</v>
      </c>
    </row>
    <row r="666" spans="3:14" x14ac:dyDescent="0.25">
      <c r="C666" s="2">
        <v>665</v>
      </c>
      <c r="D666" s="10">
        <v>45036</v>
      </c>
      <c r="E666" s="2" t="s">
        <v>685</v>
      </c>
      <c r="F666" s="2" t="s">
        <v>17</v>
      </c>
      <c r="G666" s="2">
        <v>57</v>
      </c>
      <c r="H666" s="2" t="s">
        <v>21</v>
      </c>
      <c r="I666" s="2">
        <v>1</v>
      </c>
      <c r="J666" s="2">
        <v>50</v>
      </c>
      <c r="K666" s="2">
        <v>50</v>
      </c>
      <c r="M666" s="2">
        <v>50</v>
      </c>
      <c r="N666" t="str" cm="1">
        <f t="array" ref="N666">IF(M666=Table5[[#This Row],[Total Amount]],"Correct",Check)</f>
        <v>Correct</v>
      </c>
    </row>
    <row r="667" spans="3:14" x14ac:dyDescent="0.25">
      <c r="C667" s="2">
        <v>666</v>
      </c>
      <c r="D667" s="10">
        <v>44959</v>
      </c>
      <c r="E667" s="2" t="s">
        <v>686</v>
      </c>
      <c r="F667" s="2" t="s">
        <v>17</v>
      </c>
      <c r="G667" s="2">
        <v>51</v>
      </c>
      <c r="H667" s="2" t="s">
        <v>23</v>
      </c>
      <c r="I667" s="2">
        <v>3</v>
      </c>
      <c r="J667" s="2">
        <v>50</v>
      </c>
      <c r="K667" s="2">
        <v>150</v>
      </c>
      <c r="M667" s="2">
        <v>150</v>
      </c>
      <c r="N667" t="str" cm="1">
        <f t="array" ref="N667">IF(M667=Table5[[#This Row],[Total Amount]],"Correct",Check)</f>
        <v>Correct</v>
      </c>
    </row>
    <row r="668" spans="3:14" x14ac:dyDescent="0.25">
      <c r="C668" s="2">
        <v>667</v>
      </c>
      <c r="D668" s="10">
        <v>45139</v>
      </c>
      <c r="E668" s="2" t="s">
        <v>687</v>
      </c>
      <c r="F668" s="2" t="s">
        <v>20</v>
      </c>
      <c r="G668" s="2">
        <v>29</v>
      </c>
      <c r="H668" s="2" t="s">
        <v>23</v>
      </c>
      <c r="I668" s="2">
        <v>1</v>
      </c>
      <c r="J668" s="2">
        <v>500</v>
      </c>
      <c r="K668" s="2">
        <v>500</v>
      </c>
      <c r="M668" s="2">
        <v>500</v>
      </c>
      <c r="N668" t="str" cm="1">
        <f t="array" ref="N668">IF(M668=Table5[[#This Row],[Total Amount]],"Correct",Check)</f>
        <v>Correct</v>
      </c>
    </row>
    <row r="669" spans="3:14" x14ac:dyDescent="0.25">
      <c r="C669" s="2">
        <v>668</v>
      </c>
      <c r="D669" s="10">
        <v>45135</v>
      </c>
      <c r="E669" s="2" t="s">
        <v>688</v>
      </c>
      <c r="F669" s="2" t="s">
        <v>20</v>
      </c>
      <c r="G669" s="2">
        <v>62</v>
      </c>
      <c r="H669" s="2" t="s">
        <v>23</v>
      </c>
      <c r="I669" s="2">
        <v>3</v>
      </c>
      <c r="J669" s="2">
        <v>50</v>
      </c>
      <c r="K669" s="2">
        <v>150</v>
      </c>
      <c r="M669" s="2">
        <v>150</v>
      </c>
      <c r="N669" t="str" cm="1">
        <f t="array" ref="N669">IF(M669=Table5[[#This Row],[Total Amount]],"Correct",Check)</f>
        <v>Correct</v>
      </c>
    </row>
    <row r="670" spans="3:14" x14ac:dyDescent="0.25">
      <c r="C670" s="2">
        <v>669</v>
      </c>
      <c r="D670" s="10">
        <v>45096</v>
      </c>
      <c r="E670" s="2" t="s">
        <v>689</v>
      </c>
      <c r="F670" s="2" t="s">
        <v>17</v>
      </c>
      <c r="G670" s="2">
        <v>24</v>
      </c>
      <c r="H670" s="2" t="s">
        <v>18</v>
      </c>
      <c r="I670" s="2">
        <v>4</v>
      </c>
      <c r="J670" s="2">
        <v>300</v>
      </c>
      <c r="K670" s="2">
        <v>1200</v>
      </c>
      <c r="M670" s="2">
        <v>1200</v>
      </c>
      <c r="N670" t="str" cm="1">
        <f t="array" ref="N670">IF(M670=Table5[[#This Row],[Total Amount]],"Correct",Check)</f>
        <v>Correct</v>
      </c>
    </row>
    <row r="671" spans="3:14" x14ac:dyDescent="0.25">
      <c r="C671" s="2">
        <v>670</v>
      </c>
      <c r="D671" s="10">
        <v>45204</v>
      </c>
      <c r="E671" s="2" t="s">
        <v>690</v>
      </c>
      <c r="F671" s="2" t="s">
        <v>17</v>
      </c>
      <c r="G671" s="2">
        <v>27</v>
      </c>
      <c r="H671" s="2" t="s">
        <v>18</v>
      </c>
      <c r="I671" s="2">
        <v>1</v>
      </c>
      <c r="J671" s="2">
        <v>30</v>
      </c>
      <c r="K671" s="2">
        <v>30</v>
      </c>
      <c r="M671" s="2">
        <v>30</v>
      </c>
      <c r="N671" t="str" cm="1">
        <f t="array" ref="N671">IF(M671=Table5[[#This Row],[Total Amount]],"Correct",Check)</f>
        <v>Correct</v>
      </c>
    </row>
    <row r="672" spans="3:14" x14ac:dyDescent="0.25">
      <c r="C672" s="2">
        <v>671</v>
      </c>
      <c r="D672" s="10">
        <v>45165</v>
      </c>
      <c r="E672" s="2" t="s">
        <v>691</v>
      </c>
      <c r="F672" s="2" t="s">
        <v>17</v>
      </c>
      <c r="G672" s="2">
        <v>62</v>
      </c>
      <c r="H672" s="2" t="s">
        <v>23</v>
      </c>
      <c r="I672" s="2">
        <v>3</v>
      </c>
      <c r="J672" s="2">
        <v>50</v>
      </c>
      <c r="K672" s="2">
        <v>150</v>
      </c>
      <c r="M672" s="2">
        <v>150</v>
      </c>
      <c r="N672" t="str" cm="1">
        <f t="array" ref="N672">IF(M672=Table5[[#This Row],[Total Amount]],"Correct",Check)</f>
        <v>Correct</v>
      </c>
    </row>
    <row r="673" spans="3:14" x14ac:dyDescent="0.25">
      <c r="C673" s="2">
        <v>672</v>
      </c>
      <c r="D673" s="10">
        <v>45139</v>
      </c>
      <c r="E673" s="2" t="s">
        <v>692</v>
      </c>
      <c r="F673" s="2" t="s">
        <v>20</v>
      </c>
      <c r="G673" s="2">
        <v>34</v>
      </c>
      <c r="H673" s="2" t="s">
        <v>18</v>
      </c>
      <c r="I673" s="2">
        <v>2</v>
      </c>
      <c r="J673" s="2">
        <v>50</v>
      </c>
      <c r="K673" s="2">
        <v>100</v>
      </c>
      <c r="M673" s="2">
        <v>100</v>
      </c>
      <c r="N673" t="str" cm="1">
        <f t="array" ref="N673">IF(M673=Table5[[#This Row],[Total Amount]],"Correct",Check)</f>
        <v>Correct</v>
      </c>
    </row>
    <row r="674" spans="3:14" x14ac:dyDescent="0.25">
      <c r="C674" s="2">
        <v>673</v>
      </c>
      <c r="D674" s="10">
        <v>44958</v>
      </c>
      <c r="E674" s="2" t="s">
        <v>693</v>
      </c>
      <c r="F674" s="2" t="s">
        <v>20</v>
      </c>
      <c r="G674" s="2">
        <v>43</v>
      </c>
      <c r="H674" s="2" t="s">
        <v>21</v>
      </c>
      <c r="I674" s="2">
        <v>3</v>
      </c>
      <c r="J674" s="2">
        <v>500</v>
      </c>
      <c r="K674" s="2">
        <v>1500</v>
      </c>
      <c r="M674" s="2">
        <v>1500</v>
      </c>
      <c r="N674" t="str" cm="1">
        <f t="array" ref="N674">IF(M674=Table5[[#This Row],[Total Amount]],"Correct",Check)</f>
        <v>Correct</v>
      </c>
    </row>
    <row r="675" spans="3:14" x14ac:dyDescent="0.25">
      <c r="C675" s="2">
        <v>674</v>
      </c>
      <c r="D675" s="10">
        <v>45032</v>
      </c>
      <c r="E675" s="2" t="s">
        <v>694</v>
      </c>
      <c r="F675" s="2" t="s">
        <v>20</v>
      </c>
      <c r="G675" s="2">
        <v>38</v>
      </c>
      <c r="H675" s="2" t="s">
        <v>21</v>
      </c>
      <c r="I675" s="2">
        <v>1</v>
      </c>
      <c r="J675" s="2">
        <v>300</v>
      </c>
      <c r="K675" s="2">
        <v>300</v>
      </c>
      <c r="M675" s="2">
        <v>300</v>
      </c>
      <c r="N675" t="str" cm="1">
        <f t="array" ref="N675">IF(M675=Table5[[#This Row],[Total Amount]],"Correct",Check)</f>
        <v>Correct</v>
      </c>
    </row>
    <row r="676" spans="3:14" x14ac:dyDescent="0.25">
      <c r="C676" s="2">
        <v>675</v>
      </c>
      <c r="D676" s="10">
        <v>45142</v>
      </c>
      <c r="E676" s="2" t="s">
        <v>695</v>
      </c>
      <c r="F676" s="2" t="s">
        <v>20</v>
      </c>
      <c r="G676" s="2">
        <v>45</v>
      </c>
      <c r="H676" s="2" t="s">
        <v>21</v>
      </c>
      <c r="I676" s="2">
        <v>2</v>
      </c>
      <c r="J676" s="2">
        <v>30</v>
      </c>
      <c r="K676" s="2">
        <v>60</v>
      </c>
      <c r="M676" s="2">
        <v>60</v>
      </c>
      <c r="N676" t="str" cm="1">
        <f t="array" ref="N676">IF(M676=Table5[[#This Row],[Total Amount]],"Correct",Check)</f>
        <v>Correct</v>
      </c>
    </row>
    <row r="677" spans="3:14" x14ac:dyDescent="0.25">
      <c r="C677" s="2">
        <v>676</v>
      </c>
      <c r="D677" s="10">
        <v>45126</v>
      </c>
      <c r="E677" s="2" t="s">
        <v>696</v>
      </c>
      <c r="F677" s="2" t="s">
        <v>17</v>
      </c>
      <c r="G677" s="2">
        <v>63</v>
      </c>
      <c r="H677" s="2" t="s">
        <v>23</v>
      </c>
      <c r="I677" s="2">
        <v>3</v>
      </c>
      <c r="J677" s="2">
        <v>500</v>
      </c>
      <c r="K677" s="2">
        <v>1500</v>
      </c>
      <c r="M677" s="2">
        <v>1500</v>
      </c>
      <c r="N677" t="str" cm="1">
        <f t="array" ref="N677">IF(M677=Table5[[#This Row],[Total Amount]],"Correct",Check)</f>
        <v>Correct</v>
      </c>
    </row>
    <row r="678" spans="3:14" x14ac:dyDescent="0.25">
      <c r="C678" s="2">
        <v>677</v>
      </c>
      <c r="D678" s="10">
        <v>45226</v>
      </c>
      <c r="E678" s="2" t="s">
        <v>697</v>
      </c>
      <c r="F678" s="2" t="s">
        <v>20</v>
      </c>
      <c r="G678" s="2">
        <v>19</v>
      </c>
      <c r="H678" s="2" t="s">
        <v>18</v>
      </c>
      <c r="I678" s="2">
        <v>3</v>
      </c>
      <c r="J678" s="2">
        <v>500</v>
      </c>
      <c r="K678" s="2">
        <v>1500</v>
      </c>
      <c r="M678" s="2">
        <v>1500</v>
      </c>
      <c r="N678" t="str" cm="1">
        <f t="array" ref="N678">IF(M678=Table5[[#This Row],[Total Amount]],"Correct",Check)</f>
        <v>Correct</v>
      </c>
    </row>
    <row r="679" spans="3:14" x14ac:dyDescent="0.25">
      <c r="C679" s="2">
        <v>678</v>
      </c>
      <c r="D679" s="10">
        <v>45283</v>
      </c>
      <c r="E679" s="2" t="s">
        <v>698</v>
      </c>
      <c r="F679" s="2" t="s">
        <v>20</v>
      </c>
      <c r="G679" s="2">
        <v>60</v>
      </c>
      <c r="H679" s="2" t="s">
        <v>23</v>
      </c>
      <c r="I679" s="2">
        <v>3</v>
      </c>
      <c r="J679" s="2">
        <v>300</v>
      </c>
      <c r="K679" s="2">
        <v>900</v>
      </c>
      <c r="M679" s="2">
        <v>900</v>
      </c>
      <c r="N679" t="str" cm="1">
        <f t="array" ref="N679">IF(M679=Table5[[#This Row],[Total Amount]],"Correct",Check)</f>
        <v>Correct</v>
      </c>
    </row>
    <row r="680" spans="3:14" x14ac:dyDescent="0.25">
      <c r="C680" s="2">
        <v>679</v>
      </c>
      <c r="D680" s="10">
        <v>44937</v>
      </c>
      <c r="E680" s="2" t="s">
        <v>699</v>
      </c>
      <c r="F680" s="2" t="s">
        <v>20</v>
      </c>
      <c r="G680" s="2">
        <v>18</v>
      </c>
      <c r="H680" s="2" t="s">
        <v>18</v>
      </c>
      <c r="I680" s="2">
        <v>3</v>
      </c>
      <c r="J680" s="2">
        <v>30</v>
      </c>
      <c r="K680" s="2">
        <v>90</v>
      </c>
      <c r="M680" s="2">
        <v>90</v>
      </c>
      <c r="N680" t="str" cm="1">
        <f t="array" ref="N680">IF(M680=Table5[[#This Row],[Total Amount]],"Correct",Check)</f>
        <v>Correct</v>
      </c>
    </row>
    <row r="681" spans="3:14" x14ac:dyDescent="0.25">
      <c r="C681" s="2">
        <v>680</v>
      </c>
      <c r="D681" s="10">
        <v>45221</v>
      </c>
      <c r="E681" s="2" t="s">
        <v>700</v>
      </c>
      <c r="F681" s="2" t="s">
        <v>20</v>
      </c>
      <c r="G681" s="2">
        <v>53</v>
      </c>
      <c r="H681" s="2" t="s">
        <v>21</v>
      </c>
      <c r="I681" s="2">
        <v>3</v>
      </c>
      <c r="J681" s="2">
        <v>300</v>
      </c>
      <c r="K681" s="2">
        <v>900</v>
      </c>
      <c r="M681" s="2">
        <v>900</v>
      </c>
      <c r="N681" t="str" cm="1">
        <f t="array" ref="N681">IF(M681=Table5[[#This Row],[Total Amount]],"Correct",Check)</f>
        <v>Correct</v>
      </c>
    </row>
    <row r="682" spans="3:14" x14ac:dyDescent="0.25">
      <c r="C682" s="2">
        <v>681</v>
      </c>
      <c r="D682" s="10">
        <v>45121</v>
      </c>
      <c r="E682" s="2" t="s">
        <v>701</v>
      </c>
      <c r="F682" s="2" t="s">
        <v>20</v>
      </c>
      <c r="G682" s="2">
        <v>43</v>
      </c>
      <c r="H682" s="2" t="s">
        <v>23</v>
      </c>
      <c r="I682" s="2">
        <v>2</v>
      </c>
      <c r="J682" s="2">
        <v>30</v>
      </c>
      <c r="K682" s="2">
        <v>60</v>
      </c>
      <c r="M682" s="2">
        <v>60</v>
      </c>
      <c r="N682" t="str" cm="1">
        <f t="array" ref="N682">IF(M682=Table5[[#This Row],[Total Amount]],"Correct",Check)</f>
        <v>Correct</v>
      </c>
    </row>
    <row r="683" spans="3:14" x14ac:dyDescent="0.25">
      <c r="C683" s="2">
        <v>682</v>
      </c>
      <c r="D683" s="10">
        <v>45171</v>
      </c>
      <c r="E683" s="2" t="s">
        <v>702</v>
      </c>
      <c r="F683" s="2" t="s">
        <v>17</v>
      </c>
      <c r="G683" s="2">
        <v>46</v>
      </c>
      <c r="H683" s="2" t="s">
        <v>18</v>
      </c>
      <c r="I683" s="2">
        <v>4</v>
      </c>
      <c r="J683" s="2">
        <v>300</v>
      </c>
      <c r="K683" s="2">
        <v>1200</v>
      </c>
      <c r="M683" s="2">
        <v>1200</v>
      </c>
      <c r="N683" t="str" cm="1">
        <f t="array" ref="N683">IF(M683=Table5[[#This Row],[Total Amount]],"Correct",Check)</f>
        <v>Correct</v>
      </c>
    </row>
    <row r="684" spans="3:14" x14ac:dyDescent="0.25">
      <c r="C684" s="2">
        <v>683</v>
      </c>
      <c r="D684" s="10">
        <v>44930</v>
      </c>
      <c r="E684" s="2" t="s">
        <v>703</v>
      </c>
      <c r="F684" s="2" t="s">
        <v>17</v>
      </c>
      <c r="G684" s="2">
        <v>38</v>
      </c>
      <c r="H684" s="2" t="s">
        <v>18</v>
      </c>
      <c r="I684" s="2">
        <v>2</v>
      </c>
      <c r="J684" s="2">
        <v>500</v>
      </c>
      <c r="K684" s="2">
        <v>1000</v>
      </c>
      <c r="M684" s="2">
        <v>1000</v>
      </c>
      <c r="N684" t="str" cm="1">
        <f t="array" ref="N684">IF(M684=Table5[[#This Row],[Total Amount]],"Correct",Check)</f>
        <v>Correct</v>
      </c>
    </row>
    <row r="685" spans="3:14" x14ac:dyDescent="0.25">
      <c r="C685" s="2">
        <v>684</v>
      </c>
      <c r="D685" s="10">
        <v>45107</v>
      </c>
      <c r="E685" s="2" t="s">
        <v>704</v>
      </c>
      <c r="F685" s="2" t="s">
        <v>20</v>
      </c>
      <c r="G685" s="2">
        <v>28</v>
      </c>
      <c r="H685" s="2" t="s">
        <v>21</v>
      </c>
      <c r="I685" s="2">
        <v>2</v>
      </c>
      <c r="J685" s="2">
        <v>500</v>
      </c>
      <c r="K685" s="2">
        <v>1000</v>
      </c>
      <c r="M685" s="2">
        <v>1000</v>
      </c>
      <c r="N685" t="str" cm="1">
        <f t="array" ref="N685">IF(M685=Table5[[#This Row],[Total Amount]],"Correct",Check)</f>
        <v>Correct</v>
      </c>
    </row>
    <row r="686" spans="3:14" x14ac:dyDescent="0.25">
      <c r="C686" s="2">
        <v>685</v>
      </c>
      <c r="D686" s="10">
        <v>45079</v>
      </c>
      <c r="E686" s="2" t="s">
        <v>705</v>
      </c>
      <c r="F686" s="2" t="s">
        <v>17</v>
      </c>
      <c r="G686" s="2">
        <v>57</v>
      </c>
      <c r="H686" s="2" t="s">
        <v>23</v>
      </c>
      <c r="I686" s="2">
        <v>2</v>
      </c>
      <c r="J686" s="2">
        <v>25</v>
      </c>
      <c r="K686" s="2">
        <v>50</v>
      </c>
      <c r="M686" s="2">
        <v>50</v>
      </c>
      <c r="N686" t="str" cm="1">
        <f t="array" ref="N686">IF(M686=Table5[[#This Row],[Total Amount]],"Correct",Check)</f>
        <v>Correct</v>
      </c>
    </row>
    <row r="687" spans="3:14" x14ac:dyDescent="0.25">
      <c r="C687" s="2">
        <v>686</v>
      </c>
      <c r="D687" s="10">
        <v>45126</v>
      </c>
      <c r="E687" s="2" t="s">
        <v>706</v>
      </c>
      <c r="F687" s="2" t="s">
        <v>20</v>
      </c>
      <c r="G687" s="2">
        <v>28</v>
      </c>
      <c r="H687" s="2" t="s">
        <v>23</v>
      </c>
      <c r="I687" s="2">
        <v>4</v>
      </c>
      <c r="J687" s="2">
        <v>50</v>
      </c>
      <c r="K687" s="2">
        <v>200</v>
      </c>
      <c r="M687" s="2">
        <v>200</v>
      </c>
      <c r="N687" t="str" cm="1">
        <f t="array" ref="N687">IF(M687=Table5[[#This Row],[Total Amount]],"Correct",Check)</f>
        <v>Correct</v>
      </c>
    </row>
    <row r="688" spans="3:14" x14ac:dyDescent="0.25">
      <c r="C688" s="2">
        <v>687</v>
      </c>
      <c r="D688" s="10">
        <v>45141</v>
      </c>
      <c r="E688" s="2" t="s">
        <v>707</v>
      </c>
      <c r="F688" s="2" t="s">
        <v>20</v>
      </c>
      <c r="G688" s="2">
        <v>53</v>
      </c>
      <c r="H688" s="2" t="s">
        <v>23</v>
      </c>
      <c r="I688" s="2">
        <v>1</v>
      </c>
      <c r="J688" s="2">
        <v>300</v>
      </c>
      <c r="K688" s="2">
        <v>300</v>
      </c>
      <c r="M688" s="2">
        <v>300</v>
      </c>
      <c r="N688" t="str" cm="1">
        <f t="array" ref="N688">IF(M688=Table5[[#This Row],[Total Amount]],"Correct",Check)</f>
        <v>Correct</v>
      </c>
    </row>
    <row r="689" spans="3:14" x14ac:dyDescent="0.25">
      <c r="C689" s="2">
        <v>688</v>
      </c>
      <c r="D689" s="10">
        <v>45202</v>
      </c>
      <c r="E689" s="2" t="s">
        <v>708</v>
      </c>
      <c r="F689" s="2" t="s">
        <v>17</v>
      </c>
      <c r="G689" s="2">
        <v>56</v>
      </c>
      <c r="H689" s="2" t="s">
        <v>21</v>
      </c>
      <c r="I689" s="2">
        <v>4</v>
      </c>
      <c r="J689" s="2">
        <v>25</v>
      </c>
      <c r="K689" s="2">
        <v>100</v>
      </c>
      <c r="M689" s="2">
        <v>100</v>
      </c>
      <c r="N689" t="str" cm="1">
        <f t="array" ref="N689">IF(M689=Table5[[#This Row],[Total Amount]],"Correct",Check)</f>
        <v>Correct</v>
      </c>
    </row>
    <row r="690" spans="3:14" x14ac:dyDescent="0.25">
      <c r="C690" s="2">
        <v>689</v>
      </c>
      <c r="D690" s="10">
        <v>45206</v>
      </c>
      <c r="E690" s="2" t="s">
        <v>709</v>
      </c>
      <c r="F690" s="2" t="s">
        <v>17</v>
      </c>
      <c r="G690" s="2">
        <v>57</v>
      </c>
      <c r="H690" s="2" t="s">
        <v>23</v>
      </c>
      <c r="I690" s="2">
        <v>2</v>
      </c>
      <c r="J690" s="2">
        <v>50</v>
      </c>
      <c r="K690" s="2">
        <v>100</v>
      </c>
      <c r="M690" s="2">
        <v>100</v>
      </c>
      <c r="N690" t="str" cm="1">
        <f t="array" ref="N690">IF(M690=Table5[[#This Row],[Total Amount]],"Correct",Check)</f>
        <v>Correct</v>
      </c>
    </row>
    <row r="691" spans="3:14" x14ac:dyDescent="0.25">
      <c r="C691" s="2">
        <v>690</v>
      </c>
      <c r="D691" s="10">
        <v>45235</v>
      </c>
      <c r="E691" s="2" t="s">
        <v>710</v>
      </c>
      <c r="F691" s="2" t="s">
        <v>20</v>
      </c>
      <c r="G691" s="2">
        <v>52</v>
      </c>
      <c r="H691" s="2" t="s">
        <v>21</v>
      </c>
      <c r="I691" s="2">
        <v>3</v>
      </c>
      <c r="J691" s="2">
        <v>300</v>
      </c>
      <c r="K691" s="2">
        <v>900</v>
      </c>
      <c r="M691" s="2">
        <v>900</v>
      </c>
      <c r="N691" t="str" cm="1">
        <f t="array" ref="N691">IF(M691=Table5[[#This Row],[Total Amount]],"Correct",Check)</f>
        <v>Correct</v>
      </c>
    </row>
    <row r="692" spans="3:14" x14ac:dyDescent="0.25">
      <c r="C692" s="2">
        <v>691</v>
      </c>
      <c r="D692" s="10">
        <v>45039</v>
      </c>
      <c r="E692" s="2" t="s">
        <v>711</v>
      </c>
      <c r="F692" s="2" t="s">
        <v>20</v>
      </c>
      <c r="G692" s="2">
        <v>51</v>
      </c>
      <c r="H692" s="2" t="s">
        <v>21</v>
      </c>
      <c r="I692" s="2">
        <v>3</v>
      </c>
      <c r="J692" s="2">
        <v>30</v>
      </c>
      <c r="K692" s="2">
        <v>90</v>
      </c>
      <c r="M692" s="2">
        <v>90</v>
      </c>
      <c r="N692" t="str" cm="1">
        <f t="array" ref="N692">IF(M692=Table5[[#This Row],[Total Amount]],"Correct",Check)</f>
        <v>Correct</v>
      </c>
    </row>
    <row r="693" spans="3:14" x14ac:dyDescent="0.25">
      <c r="C693" s="2">
        <v>692</v>
      </c>
      <c r="D693" s="10">
        <v>45176</v>
      </c>
      <c r="E693" s="2" t="s">
        <v>712</v>
      </c>
      <c r="F693" s="2" t="s">
        <v>20</v>
      </c>
      <c r="G693" s="2">
        <v>64</v>
      </c>
      <c r="H693" s="2" t="s">
        <v>21</v>
      </c>
      <c r="I693" s="2">
        <v>2</v>
      </c>
      <c r="J693" s="2">
        <v>50</v>
      </c>
      <c r="K693" s="2">
        <v>100</v>
      </c>
      <c r="M693" s="2">
        <v>100</v>
      </c>
      <c r="N693" t="str" cm="1">
        <f t="array" ref="N693">IF(M693=Table5[[#This Row],[Total Amount]],"Correct",Check)</f>
        <v>Correct</v>
      </c>
    </row>
    <row r="694" spans="3:14" x14ac:dyDescent="0.25">
      <c r="C694" s="2">
        <v>693</v>
      </c>
      <c r="D694" s="10">
        <v>45039</v>
      </c>
      <c r="E694" s="2" t="s">
        <v>713</v>
      </c>
      <c r="F694" s="2" t="s">
        <v>17</v>
      </c>
      <c r="G694" s="2">
        <v>41</v>
      </c>
      <c r="H694" s="2" t="s">
        <v>18</v>
      </c>
      <c r="I694" s="2">
        <v>3</v>
      </c>
      <c r="J694" s="2">
        <v>500</v>
      </c>
      <c r="K694" s="2">
        <v>1500</v>
      </c>
      <c r="M694" s="2">
        <v>1500</v>
      </c>
      <c r="N694" t="str" cm="1">
        <f t="array" ref="N694">IF(M694=Table5[[#This Row],[Total Amount]],"Correct",Check)</f>
        <v>Correct</v>
      </c>
    </row>
    <row r="695" spans="3:14" x14ac:dyDescent="0.25">
      <c r="C695" s="2">
        <v>694</v>
      </c>
      <c r="D695" s="10">
        <v>45066</v>
      </c>
      <c r="E695" s="2" t="s">
        <v>714</v>
      </c>
      <c r="F695" s="2" t="s">
        <v>20</v>
      </c>
      <c r="G695" s="2">
        <v>39</v>
      </c>
      <c r="H695" s="2" t="s">
        <v>23</v>
      </c>
      <c r="I695" s="2">
        <v>2</v>
      </c>
      <c r="J695" s="2">
        <v>25</v>
      </c>
      <c r="K695" s="2">
        <v>50</v>
      </c>
      <c r="M695" s="2">
        <v>50</v>
      </c>
      <c r="N695" t="str" cm="1">
        <f t="array" ref="N695">IF(M695=Table5[[#This Row],[Total Amount]],"Correct",Check)</f>
        <v>Correct</v>
      </c>
    </row>
    <row r="696" spans="3:14" x14ac:dyDescent="0.25">
      <c r="C696" s="2">
        <v>695</v>
      </c>
      <c r="D696" s="10">
        <v>45150</v>
      </c>
      <c r="E696" s="2" t="s">
        <v>715</v>
      </c>
      <c r="F696" s="2" t="s">
        <v>20</v>
      </c>
      <c r="G696" s="2">
        <v>22</v>
      </c>
      <c r="H696" s="2" t="s">
        <v>23</v>
      </c>
      <c r="I696" s="2">
        <v>3</v>
      </c>
      <c r="J696" s="2">
        <v>50</v>
      </c>
      <c r="K696" s="2">
        <v>150</v>
      </c>
      <c r="M696" s="2">
        <v>150</v>
      </c>
      <c r="N696" t="str" cm="1">
        <f t="array" ref="N696">IF(M696=Table5[[#This Row],[Total Amount]],"Correct",Check)</f>
        <v>Correct</v>
      </c>
    </row>
    <row r="697" spans="3:14" x14ac:dyDescent="0.25">
      <c r="C697" s="2">
        <v>696</v>
      </c>
      <c r="D697" s="10">
        <v>45175</v>
      </c>
      <c r="E697" s="2" t="s">
        <v>716</v>
      </c>
      <c r="F697" s="2" t="s">
        <v>20</v>
      </c>
      <c r="G697" s="2">
        <v>50</v>
      </c>
      <c r="H697" s="2" t="s">
        <v>21</v>
      </c>
      <c r="I697" s="2">
        <v>4</v>
      </c>
      <c r="J697" s="2">
        <v>50</v>
      </c>
      <c r="K697" s="2">
        <v>200</v>
      </c>
      <c r="M697" s="2">
        <v>200</v>
      </c>
      <c r="N697" t="str" cm="1">
        <f t="array" ref="N697">IF(M697=Table5[[#This Row],[Total Amount]],"Correct",Check)</f>
        <v>Correct</v>
      </c>
    </row>
    <row r="698" spans="3:14" x14ac:dyDescent="0.25">
      <c r="C698" s="2">
        <v>697</v>
      </c>
      <c r="D698" s="10">
        <v>44941</v>
      </c>
      <c r="E698" s="2" t="s">
        <v>717</v>
      </c>
      <c r="F698" s="2" t="s">
        <v>17</v>
      </c>
      <c r="G698" s="2">
        <v>53</v>
      </c>
      <c r="H698" s="2" t="s">
        <v>21</v>
      </c>
      <c r="I698" s="2">
        <v>1</v>
      </c>
      <c r="J698" s="2">
        <v>500</v>
      </c>
      <c r="K698" s="2">
        <v>500</v>
      </c>
      <c r="M698" s="2">
        <v>500</v>
      </c>
      <c r="N698" t="str" cm="1">
        <f t="array" ref="N698">IF(M698=Table5[[#This Row],[Total Amount]],"Correct",Check)</f>
        <v>Correct</v>
      </c>
    </row>
    <row r="699" spans="3:14" x14ac:dyDescent="0.25">
      <c r="C699" s="2">
        <v>698</v>
      </c>
      <c r="D699" s="10">
        <v>45126</v>
      </c>
      <c r="E699" s="2" t="s">
        <v>718</v>
      </c>
      <c r="F699" s="2" t="s">
        <v>20</v>
      </c>
      <c r="G699" s="2">
        <v>64</v>
      </c>
      <c r="H699" s="2" t="s">
        <v>23</v>
      </c>
      <c r="I699" s="2">
        <v>1</v>
      </c>
      <c r="J699" s="2">
        <v>300</v>
      </c>
      <c r="K699" s="2">
        <v>300</v>
      </c>
      <c r="M699" s="2">
        <v>300</v>
      </c>
      <c r="N699" t="str" cm="1">
        <f t="array" ref="N699">IF(M699=Table5[[#This Row],[Total Amount]],"Correct",Check)</f>
        <v>Correct</v>
      </c>
    </row>
    <row r="700" spans="3:14" x14ac:dyDescent="0.25">
      <c r="C700" s="2">
        <v>699</v>
      </c>
      <c r="D700" s="10">
        <v>45099</v>
      </c>
      <c r="E700" s="2" t="s">
        <v>719</v>
      </c>
      <c r="F700" s="2" t="s">
        <v>20</v>
      </c>
      <c r="G700" s="2">
        <v>37</v>
      </c>
      <c r="H700" s="2" t="s">
        <v>21</v>
      </c>
      <c r="I700" s="2">
        <v>4</v>
      </c>
      <c r="J700" s="2">
        <v>30</v>
      </c>
      <c r="K700" s="2">
        <v>120</v>
      </c>
      <c r="M700" s="2">
        <v>120</v>
      </c>
      <c r="N700" t="str" cm="1">
        <f t="array" ref="N700">IF(M700=Table5[[#This Row],[Total Amount]],"Correct",Check)</f>
        <v>Correct</v>
      </c>
    </row>
    <row r="701" spans="3:14" x14ac:dyDescent="0.25">
      <c r="C701" s="2">
        <v>700</v>
      </c>
      <c r="D701" s="10">
        <v>45269</v>
      </c>
      <c r="E701" s="2" t="s">
        <v>720</v>
      </c>
      <c r="F701" s="2" t="s">
        <v>17</v>
      </c>
      <c r="G701" s="2">
        <v>36</v>
      </c>
      <c r="H701" s="2" t="s">
        <v>23</v>
      </c>
      <c r="I701" s="2">
        <v>4</v>
      </c>
      <c r="J701" s="2">
        <v>500</v>
      </c>
      <c r="K701" s="2">
        <v>2000</v>
      </c>
      <c r="M701" s="2">
        <v>2000</v>
      </c>
      <c r="N701" t="str" cm="1">
        <f t="array" ref="N701">IF(M701=Table5[[#This Row],[Total Amount]],"Correct",Check)</f>
        <v>Correct</v>
      </c>
    </row>
    <row r="702" spans="3:14" x14ac:dyDescent="0.25">
      <c r="C702" s="2">
        <v>701</v>
      </c>
      <c r="D702" s="10">
        <v>45274</v>
      </c>
      <c r="E702" s="2" t="s">
        <v>721</v>
      </c>
      <c r="F702" s="2" t="s">
        <v>20</v>
      </c>
      <c r="G702" s="2">
        <v>52</v>
      </c>
      <c r="H702" s="2" t="s">
        <v>18</v>
      </c>
      <c r="I702" s="2">
        <v>2</v>
      </c>
      <c r="J702" s="2">
        <v>30</v>
      </c>
      <c r="K702" s="2">
        <v>60</v>
      </c>
      <c r="M702" s="2">
        <v>60</v>
      </c>
      <c r="N702" t="str" cm="1">
        <f t="array" ref="N702">IF(M702=Table5[[#This Row],[Total Amount]],"Correct",Check)</f>
        <v>Correct</v>
      </c>
    </row>
    <row r="703" spans="3:14" x14ac:dyDescent="0.25">
      <c r="C703" s="2">
        <v>702</v>
      </c>
      <c r="D703" s="10">
        <v>45134</v>
      </c>
      <c r="E703" s="2" t="s">
        <v>722</v>
      </c>
      <c r="F703" s="2" t="s">
        <v>20</v>
      </c>
      <c r="G703" s="2">
        <v>60</v>
      </c>
      <c r="H703" s="2" t="s">
        <v>21</v>
      </c>
      <c r="I703" s="2">
        <v>2</v>
      </c>
      <c r="J703" s="2">
        <v>300</v>
      </c>
      <c r="K703" s="2">
        <v>600</v>
      </c>
      <c r="M703" s="2">
        <v>600</v>
      </c>
      <c r="N703" t="str" cm="1">
        <f t="array" ref="N703">IF(M703=Table5[[#This Row],[Total Amount]],"Correct",Check)</f>
        <v>Correct</v>
      </c>
    </row>
    <row r="704" spans="3:14" x14ac:dyDescent="0.25">
      <c r="C704" s="2">
        <v>703</v>
      </c>
      <c r="D704" s="10">
        <v>45011</v>
      </c>
      <c r="E704" s="2" t="s">
        <v>723</v>
      </c>
      <c r="F704" s="2" t="s">
        <v>17</v>
      </c>
      <c r="G704" s="2">
        <v>34</v>
      </c>
      <c r="H704" s="2" t="s">
        <v>23</v>
      </c>
      <c r="I704" s="2">
        <v>2</v>
      </c>
      <c r="J704" s="2">
        <v>50</v>
      </c>
      <c r="K704" s="2">
        <v>100</v>
      </c>
      <c r="M704" s="2">
        <v>100</v>
      </c>
      <c r="N704" t="str" cm="1">
        <f t="array" ref="N704">IF(M704=Table5[[#This Row],[Total Amount]],"Correct",Check)</f>
        <v>Correct</v>
      </c>
    </row>
    <row r="705" spans="3:14" x14ac:dyDescent="0.25">
      <c r="C705" s="2">
        <v>704</v>
      </c>
      <c r="D705" s="10">
        <v>45166</v>
      </c>
      <c r="E705" s="2" t="s">
        <v>724</v>
      </c>
      <c r="F705" s="2" t="s">
        <v>20</v>
      </c>
      <c r="G705" s="2">
        <v>62</v>
      </c>
      <c r="H705" s="2" t="s">
        <v>21</v>
      </c>
      <c r="I705" s="2">
        <v>3</v>
      </c>
      <c r="J705" s="2">
        <v>30</v>
      </c>
      <c r="K705" s="2">
        <v>90</v>
      </c>
      <c r="M705" s="2">
        <v>90</v>
      </c>
      <c r="N705" t="str" cm="1">
        <f t="array" ref="N705">IF(M705=Table5[[#This Row],[Total Amount]],"Correct",Check)</f>
        <v>Correct</v>
      </c>
    </row>
    <row r="706" spans="3:14" x14ac:dyDescent="0.25">
      <c r="C706" s="2">
        <v>705</v>
      </c>
      <c r="D706" s="10">
        <v>44992</v>
      </c>
      <c r="E706" s="2" t="s">
        <v>725</v>
      </c>
      <c r="F706" s="2" t="s">
        <v>17</v>
      </c>
      <c r="G706" s="2">
        <v>60</v>
      </c>
      <c r="H706" s="2" t="s">
        <v>23</v>
      </c>
      <c r="I706" s="2">
        <v>2</v>
      </c>
      <c r="J706" s="2">
        <v>25</v>
      </c>
      <c r="K706" s="2">
        <v>50</v>
      </c>
      <c r="M706" s="2">
        <v>50</v>
      </c>
      <c r="N706" t="str" cm="1">
        <f t="array" ref="N706">IF(M706=Table5[[#This Row],[Total Amount]],"Correct",Check)</f>
        <v>Correct</v>
      </c>
    </row>
    <row r="707" spans="3:14" x14ac:dyDescent="0.25">
      <c r="C707" s="2">
        <v>706</v>
      </c>
      <c r="D707" s="10">
        <v>45245</v>
      </c>
      <c r="E707" s="2" t="s">
        <v>726</v>
      </c>
      <c r="F707" s="2" t="s">
        <v>17</v>
      </c>
      <c r="G707" s="2">
        <v>51</v>
      </c>
      <c r="H707" s="2" t="s">
        <v>23</v>
      </c>
      <c r="I707" s="2">
        <v>4</v>
      </c>
      <c r="J707" s="2">
        <v>25</v>
      </c>
      <c r="K707" s="2">
        <v>100</v>
      </c>
      <c r="M707" s="2">
        <v>100</v>
      </c>
      <c r="N707" t="str" cm="1">
        <f t="array" ref="N707">IF(M707=Table5[[#This Row],[Total Amount]],"Correct",Check)</f>
        <v>Correct</v>
      </c>
    </row>
    <row r="708" spans="3:14" x14ac:dyDescent="0.25">
      <c r="C708" s="2">
        <v>707</v>
      </c>
      <c r="D708" s="10">
        <v>45200</v>
      </c>
      <c r="E708" s="2" t="s">
        <v>727</v>
      </c>
      <c r="F708" s="2" t="s">
        <v>20</v>
      </c>
      <c r="G708" s="2">
        <v>26</v>
      </c>
      <c r="H708" s="2" t="s">
        <v>21</v>
      </c>
      <c r="I708" s="2">
        <v>1</v>
      </c>
      <c r="J708" s="2">
        <v>500</v>
      </c>
      <c r="K708" s="2">
        <v>500</v>
      </c>
      <c r="M708" s="2">
        <v>500</v>
      </c>
      <c r="N708" t="str" cm="1">
        <f t="array" ref="N708">IF(M708=Table5[[#This Row],[Total Amount]],"Correct",Check)</f>
        <v>Correct</v>
      </c>
    </row>
    <row r="709" spans="3:14" x14ac:dyDescent="0.25">
      <c r="C709" s="2">
        <v>708</v>
      </c>
      <c r="D709" s="10">
        <v>44940</v>
      </c>
      <c r="E709" s="2" t="s">
        <v>728</v>
      </c>
      <c r="F709" s="2" t="s">
        <v>20</v>
      </c>
      <c r="G709" s="2">
        <v>43</v>
      </c>
      <c r="H709" s="2" t="s">
        <v>18</v>
      </c>
      <c r="I709" s="2">
        <v>3</v>
      </c>
      <c r="J709" s="2">
        <v>300</v>
      </c>
      <c r="K709" s="2">
        <v>900</v>
      </c>
      <c r="M709" s="2">
        <v>900</v>
      </c>
      <c r="N709" t="str" cm="1">
        <f t="array" ref="N709">IF(M709=Table5[[#This Row],[Total Amount]],"Correct",Check)</f>
        <v>Correct</v>
      </c>
    </row>
    <row r="710" spans="3:14" x14ac:dyDescent="0.25">
      <c r="C710" s="2">
        <v>709</v>
      </c>
      <c r="D710" s="10">
        <v>45128</v>
      </c>
      <c r="E710" s="2" t="s">
        <v>729</v>
      </c>
      <c r="F710" s="2" t="s">
        <v>20</v>
      </c>
      <c r="G710" s="2">
        <v>19</v>
      </c>
      <c r="H710" s="2" t="s">
        <v>23</v>
      </c>
      <c r="I710" s="2">
        <v>2</v>
      </c>
      <c r="J710" s="2">
        <v>500</v>
      </c>
      <c r="K710" s="2">
        <v>1000</v>
      </c>
      <c r="M710" s="2">
        <v>1000</v>
      </c>
      <c r="N710" t="str" cm="1">
        <f t="array" ref="N710">IF(M710=Table5[[#This Row],[Total Amount]],"Correct",Check)</f>
        <v>Correct</v>
      </c>
    </row>
    <row r="711" spans="3:14" x14ac:dyDescent="0.25">
      <c r="C711" s="2">
        <v>710</v>
      </c>
      <c r="D711" s="10">
        <v>45230</v>
      </c>
      <c r="E711" s="2" t="s">
        <v>730</v>
      </c>
      <c r="F711" s="2" t="s">
        <v>20</v>
      </c>
      <c r="G711" s="2">
        <v>26</v>
      </c>
      <c r="H711" s="2" t="s">
        <v>23</v>
      </c>
      <c r="I711" s="2">
        <v>3</v>
      </c>
      <c r="J711" s="2">
        <v>500</v>
      </c>
      <c r="K711" s="2">
        <v>1500</v>
      </c>
      <c r="M711" s="2">
        <v>1500</v>
      </c>
      <c r="N711" t="str" cm="1">
        <f t="array" ref="N711">IF(M711=Table5[[#This Row],[Total Amount]],"Correct",Check)</f>
        <v>Correct</v>
      </c>
    </row>
    <row r="712" spans="3:14" x14ac:dyDescent="0.25">
      <c r="C712" s="2">
        <v>711</v>
      </c>
      <c r="D712" s="10">
        <v>45215</v>
      </c>
      <c r="E712" s="2" t="s">
        <v>731</v>
      </c>
      <c r="F712" s="2" t="s">
        <v>17</v>
      </c>
      <c r="G712" s="2">
        <v>26</v>
      </c>
      <c r="H712" s="2" t="s">
        <v>23</v>
      </c>
      <c r="I712" s="2">
        <v>3</v>
      </c>
      <c r="J712" s="2">
        <v>500</v>
      </c>
      <c r="K712" s="2">
        <v>1500</v>
      </c>
      <c r="M712" s="2">
        <v>1500</v>
      </c>
      <c r="N712" t="str" cm="1">
        <f t="array" ref="N712">IF(M712=Table5[[#This Row],[Total Amount]],"Correct",Check)</f>
        <v>Correct</v>
      </c>
    </row>
    <row r="713" spans="3:14" x14ac:dyDescent="0.25">
      <c r="C713" s="2">
        <v>712</v>
      </c>
      <c r="D713" s="10">
        <v>45266</v>
      </c>
      <c r="E713" s="2" t="s">
        <v>732</v>
      </c>
      <c r="F713" s="2" t="s">
        <v>20</v>
      </c>
      <c r="G713" s="2">
        <v>57</v>
      </c>
      <c r="H713" s="2" t="s">
        <v>18</v>
      </c>
      <c r="I713" s="2">
        <v>2</v>
      </c>
      <c r="J713" s="2">
        <v>25</v>
      </c>
      <c r="K713" s="2">
        <v>50</v>
      </c>
      <c r="M713" s="2">
        <v>50</v>
      </c>
      <c r="N713" t="str" cm="1">
        <f t="array" ref="N713">IF(M713=Table5[[#This Row],[Total Amount]],"Correct",Check)</f>
        <v>Correct</v>
      </c>
    </row>
    <row r="714" spans="3:14" x14ac:dyDescent="0.25">
      <c r="C714" s="2">
        <v>713</v>
      </c>
      <c r="D714" s="10">
        <v>44940</v>
      </c>
      <c r="E714" s="2" t="s">
        <v>733</v>
      </c>
      <c r="F714" s="2" t="s">
        <v>17</v>
      </c>
      <c r="G714" s="2">
        <v>34</v>
      </c>
      <c r="H714" s="2" t="s">
        <v>18</v>
      </c>
      <c r="I714" s="2">
        <v>3</v>
      </c>
      <c r="J714" s="2">
        <v>25</v>
      </c>
      <c r="K714" s="2">
        <v>75</v>
      </c>
      <c r="M714" s="2">
        <v>75</v>
      </c>
      <c r="N714" t="str" cm="1">
        <f t="array" ref="N714">IF(M714=Table5[[#This Row],[Total Amount]],"Correct",Check)</f>
        <v>Correct</v>
      </c>
    </row>
    <row r="715" spans="3:14" x14ac:dyDescent="0.25">
      <c r="C715" s="2">
        <v>714</v>
      </c>
      <c r="D715" s="10">
        <v>44969</v>
      </c>
      <c r="E715" s="2" t="s">
        <v>734</v>
      </c>
      <c r="F715" s="2" t="s">
        <v>20</v>
      </c>
      <c r="G715" s="2">
        <v>18</v>
      </c>
      <c r="H715" s="2" t="s">
        <v>21</v>
      </c>
      <c r="I715" s="2">
        <v>1</v>
      </c>
      <c r="J715" s="2">
        <v>500</v>
      </c>
      <c r="K715" s="2">
        <v>500</v>
      </c>
      <c r="M715" s="2">
        <v>500</v>
      </c>
      <c r="N715" t="str" cm="1">
        <f t="array" ref="N715">IF(M715=Table5[[#This Row],[Total Amount]],"Correct",Check)</f>
        <v>Correct</v>
      </c>
    </row>
    <row r="716" spans="3:14" x14ac:dyDescent="0.25">
      <c r="C716" s="2">
        <v>715</v>
      </c>
      <c r="D716" s="10">
        <v>45256</v>
      </c>
      <c r="E716" s="2" t="s">
        <v>735</v>
      </c>
      <c r="F716" s="2" t="s">
        <v>20</v>
      </c>
      <c r="G716" s="2">
        <v>42</v>
      </c>
      <c r="H716" s="2" t="s">
        <v>18</v>
      </c>
      <c r="I716" s="2">
        <v>4</v>
      </c>
      <c r="J716" s="2">
        <v>25</v>
      </c>
      <c r="K716" s="2">
        <v>100</v>
      </c>
      <c r="M716" s="2">
        <v>100</v>
      </c>
      <c r="N716" t="str" cm="1">
        <f t="array" ref="N716">IF(M716=Table5[[#This Row],[Total Amount]],"Correct",Check)</f>
        <v>Correct</v>
      </c>
    </row>
    <row r="717" spans="3:14" x14ac:dyDescent="0.25">
      <c r="C717" s="2">
        <v>716</v>
      </c>
      <c r="D717" s="10">
        <v>45146</v>
      </c>
      <c r="E717" s="2" t="s">
        <v>736</v>
      </c>
      <c r="F717" s="2" t="s">
        <v>20</v>
      </c>
      <c r="G717" s="2">
        <v>60</v>
      </c>
      <c r="H717" s="2" t="s">
        <v>21</v>
      </c>
      <c r="I717" s="2">
        <v>4</v>
      </c>
      <c r="J717" s="2">
        <v>300</v>
      </c>
      <c r="K717" s="2">
        <v>1200</v>
      </c>
      <c r="M717" s="2">
        <v>1200</v>
      </c>
      <c r="N717" t="str" cm="1">
        <f t="array" ref="N717">IF(M717=Table5[[#This Row],[Total Amount]],"Correct",Check)</f>
        <v>Correct</v>
      </c>
    </row>
    <row r="718" spans="3:14" x14ac:dyDescent="0.25">
      <c r="C718" s="2">
        <v>717</v>
      </c>
      <c r="D718" s="10">
        <v>44996</v>
      </c>
      <c r="E718" s="2" t="s">
        <v>737</v>
      </c>
      <c r="F718" s="2" t="s">
        <v>17</v>
      </c>
      <c r="G718" s="2">
        <v>57</v>
      </c>
      <c r="H718" s="2" t="s">
        <v>21</v>
      </c>
      <c r="I718" s="2">
        <v>1</v>
      </c>
      <c r="J718" s="2">
        <v>500</v>
      </c>
      <c r="K718" s="2">
        <v>500</v>
      </c>
      <c r="M718" s="2">
        <v>500</v>
      </c>
      <c r="N718" t="str" cm="1">
        <f t="array" ref="N718">IF(M718=Table5[[#This Row],[Total Amount]],"Correct",Check)</f>
        <v>Correct</v>
      </c>
    </row>
    <row r="719" spans="3:14" x14ac:dyDescent="0.25">
      <c r="C719" s="2">
        <v>718</v>
      </c>
      <c r="D719" s="10">
        <v>45163</v>
      </c>
      <c r="E719" s="2" t="s">
        <v>738</v>
      </c>
      <c r="F719" s="2" t="s">
        <v>20</v>
      </c>
      <c r="G719" s="2">
        <v>59</v>
      </c>
      <c r="H719" s="2" t="s">
        <v>18</v>
      </c>
      <c r="I719" s="2">
        <v>3</v>
      </c>
      <c r="J719" s="2">
        <v>25</v>
      </c>
      <c r="K719" s="2">
        <v>75</v>
      </c>
      <c r="M719" s="2">
        <v>75</v>
      </c>
      <c r="N719" t="str" cm="1">
        <f t="array" ref="N719">IF(M719=Table5[[#This Row],[Total Amount]],"Correct",Check)</f>
        <v>Correct</v>
      </c>
    </row>
    <row r="720" spans="3:14" x14ac:dyDescent="0.25">
      <c r="C720" s="2">
        <v>719</v>
      </c>
      <c r="D720" s="10">
        <v>45020</v>
      </c>
      <c r="E720" s="2" t="s">
        <v>739</v>
      </c>
      <c r="F720" s="2" t="s">
        <v>20</v>
      </c>
      <c r="G720" s="2">
        <v>42</v>
      </c>
      <c r="H720" s="2" t="s">
        <v>21</v>
      </c>
      <c r="I720" s="2">
        <v>2</v>
      </c>
      <c r="J720" s="2">
        <v>30</v>
      </c>
      <c r="K720" s="2">
        <v>60</v>
      </c>
      <c r="M720" s="2">
        <v>60</v>
      </c>
      <c r="N720" t="str" cm="1">
        <f t="array" ref="N720">IF(M720=Table5[[#This Row],[Total Amount]],"Correct",Check)</f>
        <v>Correct</v>
      </c>
    </row>
    <row r="721" spans="3:14" x14ac:dyDescent="0.25">
      <c r="C721" s="2">
        <v>720</v>
      </c>
      <c r="D721" s="10">
        <v>44952</v>
      </c>
      <c r="E721" s="2" t="s">
        <v>740</v>
      </c>
      <c r="F721" s="2" t="s">
        <v>20</v>
      </c>
      <c r="G721" s="2">
        <v>56</v>
      </c>
      <c r="H721" s="2" t="s">
        <v>18</v>
      </c>
      <c r="I721" s="2">
        <v>3</v>
      </c>
      <c r="J721" s="2">
        <v>500</v>
      </c>
      <c r="K721" s="2">
        <v>1500</v>
      </c>
      <c r="M721" s="2">
        <v>1500</v>
      </c>
      <c r="N721" t="str" cm="1">
        <f t="array" ref="N721">IF(M721=Table5[[#This Row],[Total Amount]],"Correct",Check)</f>
        <v>Correct</v>
      </c>
    </row>
    <row r="722" spans="3:14" x14ac:dyDescent="0.25">
      <c r="C722" s="2">
        <v>721</v>
      </c>
      <c r="D722" s="10">
        <v>45060</v>
      </c>
      <c r="E722" s="2" t="s">
        <v>741</v>
      </c>
      <c r="F722" s="2" t="s">
        <v>20</v>
      </c>
      <c r="G722" s="2">
        <v>52</v>
      </c>
      <c r="H722" s="2" t="s">
        <v>21</v>
      </c>
      <c r="I722" s="2">
        <v>1</v>
      </c>
      <c r="J722" s="2">
        <v>500</v>
      </c>
      <c r="K722" s="2">
        <v>500</v>
      </c>
      <c r="M722" s="2">
        <v>500</v>
      </c>
      <c r="N722" t="str" cm="1">
        <f t="array" ref="N722">IF(M722=Table5[[#This Row],[Total Amount]],"Correct",Check)</f>
        <v>Correct</v>
      </c>
    </row>
    <row r="723" spans="3:14" x14ac:dyDescent="0.25">
      <c r="C723" s="2">
        <v>722</v>
      </c>
      <c r="D723" s="10">
        <v>45121</v>
      </c>
      <c r="E723" s="2" t="s">
        <v>742</v>
      </c>
      <c r="F723" s="2" t="s">
        <v>17</v>
      </c>
      <c r="G723" s="2">
        <v>20</v>
      </c>
      <c r="H723" s="2" t="s">
        <v>18</v>
      </c>
      <c r="I723" s="2">
        <v>3</v>
      </c>
      <c r="J723" s="2">
        <v>300</v>
      </c>
      <c r="K723" s="2">
        <v>900</v>
      </c>
      <c r="M723" s="2">
        <v>900</v>
      </c>
      <c r="N723" t="str" cm="1">
        <f t="array" ref="N723">IF(M723=Table5[[#This Row],[Total Amount]],"Correct",Check)</f>
        <v>Correct</v>
      </c>
    </row>
    <row r="724" spans="3:14" x14ac:dyDescent="0.25">
      <c r="C724" s="2">
        <v>723</v>
      </c>
      <c r="D724" s="10">
        <v>45094</v>
      </c>
      <c r="E724" s="2" t="s">
        <v>743</v>
      </c>
      <c r="F724" s="2" t="s">
        <v>20</v>
      </c>
      <c r="G724" s="2">
        <v>54</v>
      </c>
      <c r="H724" s="2" t="s">
        <v>18</v>
      </c>
      <c r="I724" s="2">
        <v>4</v>
      </c>
      <c r="J724" s="2">
        <v>50</v>
      </c>
      <c r="K724" s="2">
        <v>200</v>
      </c>
      <c r="M724" s="2">
        <v>200</v>
      </c>
      <c r="N724" t="str" cm="1">
        <f t="array" ref="N724">IF(M724=Table5[[#This Row],[Total Amount]],"Correct",Check)</f>
        <v>Correct</v>
      </c>
    </row>
    <row r="725" spans="3:14" x14ac:dyDescent="0.25">
      <c r="C725" s="2">
        <v>724</v>
      </c>
      <c r="D725" s="10">
        <v>45035</v>
      </c>
      <c r="E725" s="2" t="s">
        <v>744</v>
      </c>
      <c r="F725" s="2" t="s">
        <v>17</v>
      </c>
      <c r="G725" s="2">
        <v>61</v>
      </c>
      <c r="H725" s="2" t="s">
        <v>21</v>
      </c>
      <c r="I725" s="2">
        <v>3</v>
      </c>
      <c r="J725" s="2">
        <v>50</v>
      </c>
      <c r="K725" s="2">
        <v>150</v>
      </c>
      <c r="M725" s="2">
        <v>150</v>
      </c>
      <c r="N725" t="str" cm="1">
        <f t="array" ref="N725">IF(M725=Table5[[#This Row],[Total Amount]],"Correct",Check)</f>
        <v>Correct</v>
      </c>
    </row>
    <row r="726" spans="3:14" x14ac:dyDescent="0.25">
      <c r="C726" s="2">
        <v>725</v>
      </c>
      <c r="D726" s="10">
        <v>45159</v>
      </c>
      <c r="E726" s="2" t="s">
        <v>745</v>
      </c>
      <c r="F726" s="2" t="s">
        <v>17</v>
      </c>
      <c r="G726" s="2">
        <v>61</v>
      </c>
      <c r="H726" s="2" t="s">
        <v>23</v>
      </c>
      <c r="I726" s="2">
        <v>1</v>
      </c>
      <c r="J726" s="2">
        <v>300</v>
      </c>
      <c r="K726" s="2">
        <v>300</v>
      </c>
      <c r="M726" s="2">
        <v>300</v>
      </c>
      <c r="N726" t="str" cm="1">
        <f t="array" ref="N726">IF(M726=Table5[[#This Row],[Total Amount]],"Correct",Check)</f>
        <v>Correct</v>
      </c>
    </row>
    <row r="727" spans="3:14" x14ac:dyDescent="0.25">
      <c r="C727" s="2">
        <v>726</v>
      </c>
      <c r="D727" s="10">
        <v>45094</v>
      </c>
      <c r="E727" s="2" t="s">
        <v>746</v>
      </c>
      <c r="F727" s="2" t="s">
        <v>17</v>
      </c>
      <c r="G727" s="2">
        <v>47</v>
      </c>
      <c r="H727" s="2" t="s">
        <v>21</v>
      </c>
      <c r="I727" s="2">
        <v>4</v>
      </c>
      <c r="J727" s="2">
        <v>300</v>
      </c>
      <c r="K727" s="2">
        <v>1200</v>
      </c>
      <c r="M727" s="2">
        <v>1200</v>
      </c>
      <c r="N727" t="str" cm="1">
        <f t="array" ref="N727">IF(M727=Table5[[#This Row],[Total Amount]],"Correct",Check)</f>
        <v>Correct</v>
      </c>
    </row>
    <row r="728" spans="3:14" x14ac:dyDescent="0.25">
      <c r="C728" s="2">
        <v>727</v>
      </c>
      <c r="D728" s="10">
        <v>45099</v>
      </c>
      <c r="E728" s="2" t="s">
        <v>747</v>
      </c>
      <c r="F728" s="2" t="s">
        <v>17</v>
      </c>
      <c r="G728" s="2">
        <v>55</v>
      </c>
      <c r="H728" s="2" t="s">
        <v>18</v>
      </c>
      <c r="I728" s="2">
        <v>3</v>
      </c>
      <c r="J728" s="2">
        <v>300</v>
      </c>
      <c r="K728" s="2">
        <v>900</v>
      </c>
      <c r="M728" s="2">
        <v>900</v>
      </c>
      <c r="N728" t="str" cm="1">
        <f t="array" ref="N728">IF(M728=Table5[[#This Row],[Total Amount]],"Correct",Check)</f>
        <v>Correct</v>
      </c>
    </row>
    <row r="729" spans="3:14" x14ac:dyDescent="0.25">
      <c r="C729" s="2">
        <v>728</v>
      </c>
      <c r="D729" s="10">
        <v>45121</v>
      </c>
      <c r="E729" s="2" t="s">
        <v>748</v>
      </c>
      <c r="F729" s="2" t="s">
        <v>17</v>
      </c>
      <c r="G729" s="2">
        <v>51</v>
      </c>
      <c r="H729" s="2" t="s">
        <v>23</v>
      </c>
      <c r="I729" s="2">
        <v>3</v>
      </c>
      <c r="J729" s="2">
        <v>50</v>
      </c>
      <c r="K729" s="2">
        <v>150</v>
      </c>
      <c r="M729" s="2">
        <v>150</v>
      </c>
      <c r="N729" t="str" cm="1">
        <f t="array" ref="N729">IF(M729=Table5[[#This Row],[Total Amount]],"Correct",Check)</f>
        <v>Correct</v>
      </c>
    </row>
    <row r="730" spans="3:14" x14ac:dyDescent="0.25">
      <c r="C730" s="2">
        <v>729</v>
      </c>
      <c r="D730" s="10">
        <v>45069</v>
      </c>
      <c r="E730" s="2" t="s">
        <v>749</v>
      </c>
      <c r="F730" s="2" t="s">
        <v>17</v>
      </c>
      <c r="G730" s="2">
        <v>29</v>
      </c>
      <c r="H730" s="2" t="s">
        <v>21</v>
      </c>
      <c r="I730" s="2">
        <v>4</v>
      </c>
      <c r="J730" s="2">
        <v>300</v>
      </c>
      <c r="K730" s="2">
        <v>1200</v>
      </c>
      <c r="M730" s="2">
        <v>1200</v>
      </c>
      <c r="N730" t="str" cm="1">
        <f t="array" ref="N730">IF(M730=Table5[[#This Row],[Total Amount]],"Correct",Check)</f>
        <v>Correct</v>
      </c>
    </row>
    <row r="731" spans="3:14" x14ac:dyDescent="0.25">
      <c r="C731" s="2">
        <v>730</v>
      </c>
      <c r="D731" s="10">
        <v>45142</v>
      </c>
      <c r="E731" s="2" t="s">
        <v>750</v>
      </c>
      <c r="F731" s="2" t="s">
        <v>20</v>
      </c>
      <c r="G731" s="2">
        <v>36</v>
      </c>
      <c r="H731" s="2" t="s">
        <v>21</v>
      </c>
      <c r="I731" s="2">
        <v>2</v>
      </c>
      <c r="J731" s="2">
        <v>25</v>
      </c>
      <c r="K731" s="2">
        <v>50</v>
      </c>
      <c r="M731" s="2">
        <v>50</v>
      </c>
      <c r="N731" t="str" cm="1">
        <f t="array" ref="N731">IF(M731=Table5[[#This Row],[Total Amount]],"Correct",Check)</f>
        <v>Correct</v>
      </c>
    </row>
    <row r="732" spans="3:14" x14ac:dyDescent="0.25">
      <c r="C732" s="2">
        <v>731</v>
      </c>
      <c r="D732" s="10">
        <v>45056</v>
      </c>
      <c r="E732" s="2" t="s">
        <v>751</v>
      </c>
      <c r="F732" s="2" t="s">
        <v>17</v>
      </c>
      <c r="G732" s="2">
        <v>54</v>
      </c>
      <c r="H732" s="2" t="s">
        <v>21</v>
      </c>
      <c r="I732" s="2">
        <v>4</v>
      </c>
      <c r="J732" s="2">
        <v>500</v>
      </c>
      <c r="K732" s="2">
        <v>2000</v>
      </c>
      <c r="M732" s="2">
        <v>2000</v>
      </c>
      <c r="N732" t="str" cm="1">
        <f t="array" ref="N732">IF(M732=Table5[[#This Row],[Total Amount]],"Correct",Check)</f>
        <v>Correct</v>
      </c>
    </row>
    <row r="733" spans="3:14" x14ac:dyDescent="0.25">
      <c r="C733" s="2">
        <v>732</v>
      </c>
      <c r="D733" s="10">
        <v>44968</v>
      </c>
      <c r="E733" s="2" t="s">
        <v>752</v>
      </c>
      <c r="F733" s="2" t="s">
        <v>17</v>
      </c>
      <c r="G733" s="2">
        <v>61</v>
      </c>
      <c r="H733" s="2" t="s">
        <v>23</v>
      </c>
      <c r="I733" s="2">
        <v>2</v>
      </c>
      <c r="J733" s="2">
        <v>500</v>
      </c>
      <c r="K733" s="2">
        <v>1000</v>
      </c>
      <c r="M733" s="2">
        <v>1000</v>
      </c>
      <c r="N733" t="str" cm="1">
        <f t="array" ref="N733">IF(M733=Table5[[#This Row],[Total Amount]],"Correct",Check)</f>
        <v>Correct</v>
      </c>
    </row>
    <row r="734" spans="3:14" x14ac:dyDescent="0.25">
      <c r="C734" s="2">
        <v>733</v>
      </c>
      <c r="D734" s="10">
        <v>45167</v>
      </c>
      <c r="E734" s="2" t="s">
        <v>753</v>
      </c>
      <c r="F734" s="2" t="s">
        <v>17</v>
      </c>
      <c r="G734" s="2">
        <v>34</v>
      </c>
      <c r="H734" s="2" t="s">
        <v>18</v>
      </c>
      <c r="I734" s="2">
        <v>1</v>
      </c>
      <c r="J734" s="2">
        <v>30</v>
      </c>
      <c r="K734" s="2">
        <v>30</v>
      </c>
      <c r="M734" s="2">
        <v>30</v>
      </c>
      <c r="N734" t="str" cm="1">
        <f t="array" ref="N734">IF(M734=Table5[[#This Row],[Total Amount]],"Correct",Check)</f>
        <v>Correct</v>
      </c>
    </row>
    <row r="735" spans="3:14" x14ac:dyDescent="0.25">
      <c r="C735" s="2">
        <v>734</v>
      </c>
      <c r="D735" s="10">
        <v>44936</v>
      </c>
      <c r="E735" s="2" t="s">
        <v>754</v>
      </c>
      <c r="F735" s="2" t="s">
        <v>20</v>
      </c>
      <c r="G735" s="2">
        <v>27</v>
      </c>
      <c r="H735" s="2" t="s">
        <v>21</v>
      </c>
      <c r="I735" s="2">
        <v>1</v>
      </c>
      <c r="J735" s="2">
        <v>30</v>
      </c>
      <c r="K735" s="2">
        <v>30</v>
      </c>
      <c r="M735" s="2">
        <v>30</v>
      </c>
      <c r="N735" t="str" cm="1">
        <f t="array" ref="N735">IF(M735=Table5[[#This Row],[Total Amount]],"Correct",Check)</f>
        <v>Correct</v>
      </c>
    </row>
    <row r="736" spans="3:14" x14ac:dyDescent="0.25">
      <c r="C736" s="2">
        <v>735</v>
      </c>
      <c r="D736" s="10">
        <v>45203</v>
      </c>
      <c r="E736" s="2" t="s">
        <v>755</v>
      </c>
      <c r="F736" s="2" t="s">
        <v>20</v>
      </c>
      <c r="G736" s="2">
        <v>64</v>
      </c>
      <c r="H736" s="2" t="s">
        <v>21</v>
      </c>
      <c r="I736" s="2">
        <v>4</v>
      </c>
      <c r="J736" s="2">
        <v>500</v>
      </c>
      <c r="K736" s="2">
        <v>2000</v>
      </c>
      <c r="M736" s="2">
        <v>2000</v>
      </c>
      <c r="N736" t="str" cm="1">
        <f t="array" ref="N736">IF(M736=Table5[[#This Row],[Total Amount]],"Correct",Check)</f>
        <v>Correct</v>
      </c>
    </row>
    <row r="737" spans="3:14" x14ac:dyDescent="0.25">
      <c r="C737" s="2">
        <v>736</v>
      </c>
      <c r="D737" s="10">
        <v>44953</v>
      </c>
      <c r="E737" s="2" t="s">
        <v>756</v>
      </c>
      <c r="F737" s="2" t="s">
        <v>17</v>
      </c>
      <c r="G737" s="2">
        <v>29</v>
      </c>
      <c r="H737" s="2" t="s">
        <v>21</v>
      </c>
      <c r="I737" s="2">
        <v>4</v>
      </c>
      <c r="J737" s="2">
        <v>25</v>
      </c>
      <c r="K737" s="2">
        <v>100</v>
      </c>
      <c r="M737" s="2">
        <v>100</v>
      </c>
      <c r="N737" t="str" cm="1">
        <f t="array" ref="N737">IF(M737=Table5[[#This Row],[Total Amount]],"Correct",Check)</f>
        <v>Correct</v>
      </c>
    </row>
    <row r="738" spans="3:14" x14ac:dyDescent="0.25">
      <c r="C738" s="2">
        <v>737</v>
      </c>
      <c r="D738" s="10">
        <v>45106</v>
      </c>
      <c r="E738" s="2" t="s">
        <v>757</v>
      </c>
      <c r="F738" s="2" t="s">
        <v>20</v>
      </c>
      <c r="G738" s="2">
        <v>33</v>
      </c>
      <c r="H738" s="2" t="s">
        <v>21</v>
      </c>
      <c r="I738" s="2">
        <v>1</v>
      </c>
      <c r="J738" s="2">
        <v>50</v>
      </c>
      <c r="K738" s="2">
        <v>50</v>
      </c>
      <c r="M738" s="2">
        <v>50</v>
      </c>
      <c r="N738" t="str" cm="1">
        <f t="array" ref="N738">IF(M738=Table5[[#This Row],[Total Amount]],"Correct",Check)</f>
        <v>Correct</v>
      </c>
    </row>
    <row r="739" spans="3:14" x14ac:dyDescent="0.25">
      <c r="C739" s="2">
        <v>738</v>
      </c>
      <c r="D739" s="10">
        <v>45041</v>
      </c>
      <c r="E739" s="2" t="s">
        <v>758</v>
      </c>
      <c r="F739" s="2" t="s">
        <v>17</v>
      </c>
      <c r="G739" s="2">
        <v>41</v>
      </c>
      <c r="H739" s="2" t="s">
        <v>21</v>
      </c>
      <c r="I739" s="2">
        <v>2</v>
      </c>
      <c r="J739" s="2">
        <v>50</v>
      </c>
      <c r="K739" s="2">
        <v>100</v>
      </c>
      <c r="M739" s="2">
        <v>100</v>
      </c>
      <c r="N739" t="str" cm="1">
        <f t="array" ref="N739">IF(M739=Table5[[#This Row],[Total Amount]],"Correct",Check)</f>
        <v>Correct</v>
      </c>
    </row>
    <row r="740" spans="3:14" x14ac:dyDescent="0.25">
      <c r="C740" s="2">
        <v>739</v>
      </c>
      <c r="D740" s="10">
        <v>45259</v>
      </c>
      <c r="E740" s="2" t="s">
        <v>759</v>
      </c>
      <c r="F740" s="2" t="s">
        <v>17</v>
      </c>
      <c r="G740" s="2">
        <v>36</v>
      </c>
      <c r="H740" s="2" t="s">
        <v>18</v>
      </c>
      <c r="I740" s="2">
        <v>1</v>
      </c>
      <c r="J740" s="2">
        <v>25</v>
      </c>
      <c r="K740" s="2">
        <v>25</v>
      </c>
      <c r="M740" s="2">
        <v>25</v>
      </c>
      <c r="N740" t="str" cm="1">
        <f t="array" ref="N740">IF(M740=Table5[[#This Row],[Total Amount]],"Correct",Check)</f>
        <v>Correct</v>
      </c>
    </row>
    <row r="741" spans="3:14" x14ac:dyDescent="0.25">
      <c r="C741" s="2">
        <v>740</v>
      </c>
      <c r="D741" s="10">
        <v>44962</v>
      </c>
      <c r="E741" s="2" t="s">
        <v>760</v>
      </c>
      <c r="F741" s="2" t="s">
        <v>20</v>
      </c>
      <c r="G741" s="2">
        <v>25</v>
      </c>
      <c r="H741" s="2" t="s">
        <v>18</v>
      </c>
      <c r="I741" s="2">
        <v>4</v>
      </c>
      <c r="J741" s="2">
        <v>50</v>
      </c>
      <c r="K741" s="2">
        <v>200</v>
      </c>
      <c r="M741" s="2">
        <v>200</v>
      </c>
      <c r="N741" t="str" cm="1">
        <f t="array" ref="N741">IF(M741=Table5[[#This Row],[Total Amount]],"Correct",Check)</f>
        <v>Correct</v>
      </c>
    </row>
    <row r="742" spans="3:14" x14ac:dyDescent="0.25">
      <c r="C742" s="2">
        <v>741</v>
      </c>
      <c r="D742" s="10">
        <v>45260</v>
      </c>
      <c r="E742" s="2" t="s">
        <v>761</v>
      </c>
      <c r="F742" s="2" t="s">
        <v>17</v>
      </c>
      <c r="G742" s="2">
        <v>48</v>
      </c>
      <c r="H742" s="2" t="s">
        <v>21</v>
      </c>
      <c r="I742" s="2">
        <v>1</v>
      </c>
      <c r="J742" s="2">
        <v>300</v>
      </c>
      <c r="K742" s="2">
        <v>300</v>
      </c>
      <c r="M742" s="2">
        <v>300</v>
      </c>
      <c r="N742" t="str" cm="1">
        <f t="array" ref="N742">IF(M742=Table5[[#This Row],[Total Amount]],"Correct",Check)</f>
        <v>Correct</v>
      </c>
    </row>
    <row r="743" spans="3:14" x14ac:dyDescent="0.25">
      <c r="C743" s="2">
        <v>742</v>
      </c>
      <c r="D743" s="10">
        <v>44947</v>
      </c>
      <c r="E743" s="2" t="s">
        <v>762</v>
      </c>
      <c r="F743" s="2" t="s">
        <v>20</v>
      </c>
      <c r="G743" s="2">
        <v>38</v>
      </c>
      <c r="H743" s="2" t="s">
        <v>23</v>
      </c>
      <c r="I743" s="2">
        <v>4</v>
      </c>
      <c r="J743" s="2">
        <v>500</v>
      </c>
      <c r="K743" s="2">
        <v>2000</v>
      </c>
      <c r="M743" s="2">
        <v>2000</v>
      </c>
      <c r="N743" t="str" cm="1">
        <f t="array" ref="N743">IF(M743=Table5[[#This Row],[Total Amount]],"Correct",Check)</f>
        <v>Correct</v>
      </c>
    </row>
    <row r="744" spans="3:14" x14ac:dyDescent="0.25">
      <c r="C744" s="2">
        <v>743</v>
      </c>
      <c r="D744" s="10">
        <v>44942</v>
      </c>
      <c r="E744" s="2" t="s">
        <v>763</v>
      </c>
      <c r="F744" s="2" t="s">
        <v>20</v>
      </c>
      <c r="G744" s="2">
        <v>34</v>
      </c>
      <c r="H744" s="2" t="s">
        <v>18</v>
      </c>
      <c r="I744" s="2">
        <v>4</v>
      </c>
      <c r="J744" s="2">
        <v>500</v>
      </c>
      <c r="K744" s="2">
        <v>2000</v>
      </c>
      <c r="M744" s="2">
        <v>2000</v>
      </c>
      <c r="N744" t="str" cm="1">
        <f t="array" ref="N744">IF(M744=Table5[[#This Row],[Total Amount]],"Correct",Check)</f>
        <v>Correct</v>
      </c>
    </row>
    <row r="745" spans="3:14" x14ac:dyDescent="0.25">
      <c r="C745" s="2">
        <v>744</v>
      </c>
      <c r="D745" s="10">
        <v>45053</v>
      </c>
      <c r="E745" s="2" t="s">
        <v>764</v>
      </c>
      <c r="F745" s="2" t="s">
        <v>17</v>
      </c>
      <c r="G745" s="2">
        <v>40</v>
      </c>
      <c r="H745" s="2" t="s">
        <v>23</v>
      </c>
      <c r="I745" s="2">
        <v>1</v>
      </c>
      <c r="J745" s="2">
        <v>25</v>
      </c>
      <c r="K745" s="2">
        <v>25</v>
      </c>
      <c r="M745" s="2">
        <v>25</v>
      </c>
      <c r="N745" t="str" cm="1">
        <f t="array" ref="N745">IF(M745=Table5[[#This Row],[Total Amount]],"Correct",Check)</f>
        <v>Correct</v>
      </c>
    </row>
    <row r="746" spans="3:14" x14ac:dyDescent="0.25">
      <c r="C746" s="2">
        <v>745</v>
      </c>
      <c r="D746" s="10">
        <v>45029</v>
      </c>
      <c r="E746" s="2" t="s">
        <v>765</v>
      </c>
      <c r="F746" s="2" t="s">
        <v>17</v>
      </c>
      <c r="G746" s="2">
        <v>54</v>
      </c>
      <c r="H746" s="2" t="s">
        <v>18</v>
      </c>
      <c r="I746" s="2">
        <v>2</v>
      </c>
      <c r="J746" s="2">
        <v>50</v>
      </c>
      <c r="K746" s="2">
        <v>100</v>
      </c>
      <c r="M746" s="2">
        <v>100</v>
      </c>
      <c r="N746" t="str" cm="1">
        <f t="array" ref="N746">IF(M746=Table5[[#This Row],[Total Amount]],"Correct",Check)</f>
        <v>Correct</v>
      </c>
    </row>
    <row r="747" spans="3:14" x14ac:dyDescent="0.25">
      <c r="C747" s="2">
        <v>746</v>
      </c>
      <c r="D747" s="10">
        <v>44937</v>
      </c>
      <c r="E747" s="2" t="s">
        <v>766</v>
      </c>
      <c r="F747" s="2" t="s">
        <v>20</v>
      </c>
      <c r="G747" s="2">
        <v>33</v>
      </c>
      <c r="H747" s="2" t="s">
        <v>21</v>
      </c>
      <c r="I747" s="2">
        <v>3</v>
      </c>
      <c r="J747" s="2">
        <v>30</v>
      </c>
      <c r="K747" s="2">
        <v>90</v>
      </c>
      <c r="M747" s="2">
        <v>90</v>
      </c>
      <c r="N747" t="str" cm="1">
        <f t="array" ref="N747">IF(M747=Table5[[#This Row],[Total Amount]],"Correct",Check)</f>
        <v>Correct</v>
      </c>
    </row>
    <row r="748" spans="3:14" x14ac:dyDescent="0.25">
      <c r="C748" s="2">
        <v>747</v>
      </c>
      <c r="D748" s="10">
        <v>45245</v>
      </c>
      <c r="E748" s="2" t="s">
        <v>767</v>
      </c>
      <c r="F748" s="2" t="s">
        <v>17</v>
      </c>
      <c r="G748" s="2">
        <v>23</v>
      </c>
      <c r="H748" s="2" t="s">
        <v>18</v>
      </c>
      <c r="I748" s="2">
        <v>1</v>
      </c>
      <c r="J748" s="2">
        <v>30</v>
      </c>
      <c r="K748" s="2">
        <v>30</v>
      </c>
      <c r="M748" s="2">
        <v>30</v>
      </c>
      <c r="N748" t="str" cm="1">
        <f t="array" ref="N748">IF(M748=Table5[[#This Row],[Total Amount]],"Correct",Check)</f>
        <v>Correct</v>
      </c>
    </row>
    <row r="749" spans="3:14" x14ac:dyDescent="0.25">
      <c r="C749" s="2">
        <v>748</v>
      </c>
      <c r="D749" s="10">
        <v>45005</v>
      </c>
      <c r="E749" s="2" t="s">
        <v>768</v>
      </c>
      <c r="F749" s="2" t="s">
        <v>17</v>
      </c>
      <c r="G749" s="2">
        <v>25</v>
      </c>
      <c r="H749" s="2" t="s">
        <v>21</v>
      </c>
      <c r="I749" s="2">
        <v>3</v>
      </c>
      <c r="J749" s="2">
        <v>50</v>
      </c>
      <c r="K749" s="2">
        <v>150</v>
      </c>
      <c r="M749" s="2">
        <v>150</v>
      </c>
      <c r="N749" t="str" cm="1">
        <f t="array" ref="N749">IF(M749=Table5[[#This Row],[Total Amount]],"Correct",Check)</f>
        <v>Correct</v>
      </c>
    </row>
    <row r="750" spans="3:14" x14ac:dyDescent="0.25">
      <c r="C750" s="2">
        <v>749</v>
      </c>
      <c r="D750" s="10">
        <v>45049</v>
      </c>
      <c r="E750" s="2" t="s">
        <v>769</v>
      </c>
      <c r="F750" s="2" t="s">
        <v>17</v>
      </c>
      <c r="G750" s="2">
        <v>42</v>
      </c>
      <c r="H750" s="2" t="s">
        <v>18</v>
      </c>
      <c r="I750" s="2">
        <v>1</v>
      </c>
      <c r="J750" s="2">
        <v>30</v>
      </c>
      <c r="K750" s="2">
        <v>30</v>
      </c>
      <c r="M750" s="2">
        <v>30</v>
      </c>
      <c r="N750" t="str" cm="1">
        <f t="array" ref="N750">IF(M750=Table5[[#This Row],[Total Amount]],"Correct",Check)</f>
        <v>Correct</v>
      </c>
    </row>
    <row r="751" spans="3:14" x14ac:dyDescent="0.25">
      <c r="C751" s="2">
        <v>750</v>
      </c>
      <c r="D751" s="10">
        <v>44991</v>
      </c>
      <c r="E751" s="2" t="s">
        <v>770</v>
      </c>
      <c r="F751" s="2" t="s">
        <v>20</v>
      </c>
      <c r="G751" s="2">
        <v>35</v>
      </c>
      <c r="H751" s="2" t="s">
        <v>21</v>
      </c>
      <c r="I751" s="2">
        <v>3</v>
      </c>
      <c r="J751" s="2">
        <v>25</v>
      </c>
      <c r="K751" s="2">
        <v>75</v>
      </c>
      <c r="M751" s="2">
        <v>75</v>
      </c>
      <c r="N751" t="str" cm="1">
        <f t="array" ref="N751">IF(M751=Table5[[#This Row],[Total Amount]],"Correct",Check)</f>
        <v>Correct</v>
      </c>
    </row>
    <row r="752" spans="3:14" x14ac:dyDescent="0.25">
      <c r="C752" s="2">
        <v>751</v>
      </c>
      <c r="D752" s="10">
        <v>45169</v>
      </c>
      <c r="E752" s="2" t="s">
        <v>771</v>
      </c>
      <c r="F752" s="2" t="s">
        <v>20</v>
      </c>
      <c r="G752" s="2">
        <v>42</v>
      </c>
      <c r="H752" s="2" t="s">
        <v>21</v>
      </c>
      <c r="I752" s="2">
        <v>2</v>
      </c>
      <c r="J752" s="2">
        <v>25</v>
      </c>
      <c r="K752" s="2">
        <v>50</v>
      </c>
      <c r="M752" s="2">
        <v>50</v>
      </c>
      <c r="N752" t="str" cm="1">
        <f t="array" ref="N752">IF(M752=Table5[[#This Row],[Total Amount]],"Correct",Check)</f>
        <v>Correct</v>
      </c>
    </row>
    <row r="753" spans="3:14" x14ac:dyDescent="0.25">
      <c r="C753" s="2">
        <v>752</v>
      </c>
      <c r="D753" s="10">
        <v>45269</v>
      </c>
      <c r="E753" s="2" t="s">
        <v>772</v>
      </c>
      <c r="F753" s="2" t="s">
        <v>17</v>
      </c>
      <c r="G753" s="2">
        <v>29</v>
      </c>
      <c r="H753" s="2" t="s">
        <v>21</v>
      </c>
      <c r="I753" s="2">
        <v>2</v>
      </c>
      <c r="J753" s="2">
        <v>50</v>
      </c>
      <c r="K753" s="2">
        <v>100</v>
      </c>
      <c r="M753" s="2">
        <v>100</v>
      </c>
      <c r="N753" t="str" cm="1">
        <f t="array" ref="N753">IF(M753=Table5[[#This Row],[Total Amount]],"Correct",Check)</f>
        <v>Correct</v>
      </c>
    </row>
    <row r="754" spans="3:14" x14ac:dyDescent="0.25">
      <c r="C754" s="2">
        <v>753</v>
      </c>
      <c r="D754" s="10">
        <v>44985</v>
      </c>
      <c r="E754" s="2" t="s">
        <v>773</v>
      </c>
      <c r="F754" s="2" t="s">
        <v>20</v>
      </c>
      <c r="G754" s="2">
        <v>32</v>
      </c>
      <c r="H754" s="2" t="s">
        <v>21</v>
      </c>
      <c r="I754" s="2">
        <v>1</v>
      </c>
      <c r="J754" s="2">
        <v>30</v>
      </c>
      <c r="K754" s="2">
        <v>30</v>
      </c>
      <c r="M754" s="2">
        <v>30</v>
      </c>
      <c r="N754" t="str" cm="1">
        <f t="array" ref="N754">IF(M754=Table5[[#This Row],[Total Amount]],"Correct",Check)</f>
        <v>Correct</v>
      </c>
    </row>
    <row r="755" spans="3:14" x14ac:dyDescent="0.25">
      <c r="C755" s="2">
        <v>754</v>
      </c>
      <c r="D755" s="10">
        <v>45215</v>
      </c>
      <c r="E755" s="2" t="s">
        <v>774</v>
      </c>
      <c r="F755" s="2" t="s">
        <v>20</v>
      </c>
      <c r="G755" s="2">
        <v>43</v>
      </c>
      <c r="H755" s="2" t="s">
        <v>23</v>
      </c>
      <c r="I755" s="2">
        <v>4</v>
      </c>
      <c r="J755" s="2">
        <v>25</v>
      </c>
      <c r="K755" s="2">
        <v>100</v>
      </c>
      <c r="M755" s="2">
        <v>100</v>
      </c>
      <c r="N755" t="str" cm="1">
        <f t="array" ref="N755">IF(M755=Table5[[#This Row],[Total Amount]],"Correct",Check)</f>
        <v>Correct</v>
      </c>
    </row>
    <row r="756" spans="3:14" x14ac:dyDescent="0.25">
      <c r="C756" s="2">
        <v>755</v>
      </c>
      <c r="D756" s="10">
        <v>45038</v>
      </c>
      <c r="E756" s="2" t="s">
        <v>775</v>
      </c>
      <c r="F756" s="2" t="s">
        <v>20</v>
      </c>
      <c r="G756" s="2">
        <v>58</v>
      </c>
      <c r="H756" s="2" t="s">
        <v>21</v>
      </c>
      <c r="I756" s="2">
        <v>3</v>
      </c>
      <c r="J756" s="2">
        <v>25</v>
      </c>
      <c r="K756" s="2">
        <v>75</v>
      </c>
      <c r="M756" s="2">
        <v>75</v>
      </c>
      <c r="N756" t="str" cm="1">
        <f t="array" ref="N756">IF(M756=Table5[[#This Row],[Total Amount]],"Correct",Check)</f>
        <v>Correct</v>
      </c>
    </row>
    <row r="757" spans="3:14" x14ac:dyDescent="0.25">
      <c r="C757" s="2">
        <v>756</v>
      </c>
      <c r="D757" s="10">
        <v>45165</v>
      </c>
      <c r="E757" s="2" t="s">
        <v>776</v>
      </c>
      <c r="F757" s="2" t="s">
        <v>20</v>
      </c>
      <c r="G757" s="2">
        <v>62</v>
      </c>
      <c r="H757" s="2" t="s">
        <v>23</v>
      </c>
      <c r="I757" s="2">
        <v>4</v>
      </c>
      <c r="J757" s="2">
        <v>300</v>
      </c>
      <c r="K757" s="2">
        <v>1200</v>
      </c>
      <c r="M757" s="2">
        <v>1200</v>
      </c>
      <c r="N757" t="str" cm="1">
        <f t="array" ref="N757">IF(M757=Table5[[#This Row],[Total Amount]],"Correct",Check)</f>
        <v>Correct</v>
      </c>
    </row>
    <row r="758" spans="3:14" x14ac:dyDescent="0.25">
      <c r="C758" s="2">
        <v>757</v>
      </c>
      <c r="D758" s="10">
        <v>45285</v>
      </c>
      <c r="E758" s="2" t="s">
        <v>777</v>
      </c>
      <c r="F758" s="2" t="s">
        <v>20</v>
      </c>
      <c r="G758" s="2">
        <v>43</v>
      </c>
      <c r="H758" s="2" t="s">
        <v>23</v>
      </c>
      <c r="I758" s="2">
        <v>4</v>
      </c>
      <c r="J758" s="2">
        <v>300</v>
      </c>
      <c r="K758" s="2">
        <v>1200</v>
      </c>
      <c r="M758" s="2">
        <v>1200</v>
      </c>
      <c r="N758" t="str" cm="1">
        <f t="array" ref="N758">IF(M758=Table5[[#This Row],[Total Amount]],"Correct",Check)</f>
        <v>Correct</v>
      </c>
    </row>
    <row r="759" spans="3:14" x14ac:dyDescent="0.25">
      <c r="C759" s="2">
        <v>758</v>
      </c>
      <c r="D759" s="10">
        <v>45058</v>
      </c>
      <c r="E759" s="2" t="s">
        <v>778</v>
      </c>
      <c r="F759" s="2" t="s">
        <v>17</v>
      </c>
      <c r="G759" s="2">
        <v>64</v>
      </c>
      <c r="H759" s="2" t="s">
        <v>21</v>
      </c>
      <c r="I759" s="2">
        <v>4</v>
      </c>
      <c r="J759" s="2">
        <v>25</v>
      </c>
      <c r="K759" s="2">
        <v>100</v>
      </c>
      <c r="M759" s="2">
        <v>100</v>
      </c>
      <c r="N759" t="str" cm="1">
        <f t="array" ref="N759">IF(M759=Table5[[#This Row],[Total Amount]],"Correct",Check)</f>
        <v>Correct</v>
      </c>
    </row>
    <row r="760" spans="3:14" x14ac:dyDescent="0.25">
      <c r="C760" s="2">
        <v>759</v>
      </c>
      <c r="D760" s="10">
        <v>45115</v>
      </c>
      <c r="E760" s="2" t="s">
        <v>779</v>
      </c>
      <c r="F760" s="2" t="s">
        <v>17</v>
      </c>
      <c r="G760" s="2">
        <v>49</v>
      </c>
      <c r="H760" s="2" t="s">
        <v>23</v>
      </c>
      <c r="I760" s="2">
        <v>2</v>
      </c>
      <c r="J760" s="2">
        <v>50</v>
      </c>
      <c r="K760" s="2">
        <v>100</v>
      </c>
      <c r="M760" s="2">
        <v>100</v>
      </c>
      <c r="N760" t="str" cm="1">
        <f t="array" ref="N760">IF(M760=Table5[[#This Row],[Total Amount]],"Correct",Check)</f>
        <v>Correct</v>
      </c>
    </row>
    <row r="761" spans="3:14" x14ac:dyDescent="0.25">
      <c r="C761" s="2">
        <v>760</v>
      </c>
      <c r="D761" s="10">
        <v>45012</v>
      </c>
      <c r="E761" s="2" t="s">
        <v>780</v>
      </c>
      <c r="F761" s="2" t="s">
        <v>17</v>
      </c>
      <c r="G761" s="2">
        <v>27</v>
      </c>
      <c r="H761" s="2" t="s">
        <v>18</v>
      </c>
      <c r="I761" s="2">
        <v>1</v>
      </c>
      <c r="J761" s="2">
        <v>500</v>
      </c>
      <c r="K761" s="2">
        <v>500</v>
      </c>
      <c r="M761" s="2">
        <v>500</v>
      </c>
      <c r="N761" t="str" cm="1">
        <f t="array" ref="N761">IF(M761=Table5[[#This Row],[Total Amount]],"Correct",Check)</f>
        <v>Correct</v>
      </c>
    </row>
    <row r="762" spans="3:14" x14ac:dyDescent="0.25">
      <c r="C762" s="2">
        <v>761</v>
      </c>
      <c r="D762" s="10">
        <v>45237</v>
      </c>
      <c r="E762" s="2" t="s">
        <v>781</v>
      </c>
      <c r="F762" s="2" t="s">
        <v>20</v>
      </c>
      <c r="G762" s="2">
        <v>33</v>
      </c>
      <c r="H762" s="2" t="s">
        <v>21</v>
      </c>
      <c r="I762" s="2">
        <v>1</v>
      </c>
      <c r="J762" s="2">
        <v>500</v>
      </c>
      <c r="K762" s="2">
        <v>500</v>
      </c>
      <c r="M762" s="2">
        <v>500</v>
      </c>
      <c r="N762" t="str" cm="1">
        <f t="array" ref="N762">IF(M762=Table5[[#This Row],[Total Amount]],"Correct",Check)</f>
        <v>Correct</v>
      </c>
    </row>
    <row r="763" spans="3:14" x14ac:dyDescent="0.25">
      <c r="C763" s="2">
        <v>762</v>
      </c>
      <c r="D763" s="10">
        <v>45237</v>
      </c>
      <c r="E763" s="2" t="s">
        <v>782</v>
      </c>
      <c r="F763" s="2" t="s">
        <v>20</v>
      </c>
      <c r="G763" s="2">
        <v>24</v>
      </c>
      <c r="H763" s="2" t="s">
        <v>23</v>
      </c>
      <c r="I763" s="2">
        <v>2</v>
      </c>
      <c r="J763" s="2">
        <v>25</v>
      </c>
      <c r="K763" s="2">
        <v>50</v>
      </c>
      <c r="M763" s="2">
        <v>50</v>
      </c>
      <c r="N763" t="str" cm="1">
        <f t="array" ref="N763">IF(M763=Table5[[#This Row],[Total Amount]],"Correct",Check)</f>
        <v>Correct</v>
      </c>
    </row>
    <row r="764" spans="3:14" x14ac:dyDescent="0.25">
      <c r="C764" s="2">
        <v>763</v>
      </c>
      <c r="D764" s="10">
        <v>44985</v>
      </c>
      <c r="E764" s="2" t="s">
        <v>783</v>
      </c>
      <c r="F764" s="2" t="s">
        <v>17</v>
      </c>
      <c r="G764" s="2">
        <v>34</v>
      </c>
      <c r="H764" s="2" t="s">
        <v>21</v>
      </c>
      <c r="I764" s="2">
        <v>2</v>
      </c>
      <c r="J764" s="2">
        <v>25</v>
      </c>
      <c r="K764" s="2">
        <v>50</v>
      </c>
      <c r="M764" s="2">
        <v>50</v>
      </c>
      <c r="N764" t="str" cm="1">
        <f t="array" ref="N764">IF(M764=Table5[[#This Row],[Total Amount]],"Correct",Check)</f>
        <v>Correct</v>
      </c>
    </row>
    <row r="765" spans="3:14" x14ac:dyDescent="0.25">
      <c r="C765" s="2">
        <v>764</v>
      </c>
      <c r="D765" s="10">
        <v>45010</v>
      </c>
      <c r="E765" s="2" t="s">
        <v>784</v>
      </c>
      <c r="F765" s="2" t="s">
        <v>20</v>
      </c>
      <c r="G765" s="2">
        <v>40</v>
      </c>
      <c r="H765" s="2" t="s">
        <v>21</v>
      </c>
      <c r="I765" s="2">
        <v>1</v>
      </c>
      <c r="J765" s="2">
        <v>25</v>
      </c>
      <c r="K765" s="2">
        <v>25</v>
      </c>
      <c r="M765" s="2">
        <v>25</v>
      </c>
      <c r="N765" t="str" cm="1">
        <f t="array" ref="N765">IF(M765=Table5[[#This Row],[Total Amount]],"Correct",Check)</f>
        <v>Correct</v>
      </c>
    </row>
    <row r="766" spans="3:14" x14ac:dyDescent="0.25">
      <c r="C766" s="2">
        <v>765</v>
      </c>
      <c r="D766" s="10">
        <v>45086</v>
      </c>
      <c r="E766" s="2" t="s">
        <v>785</v>
      </c>
      <c r="F766" s="2" t="s">
        <v>17</v>
      </c>
      <c r="G766" s="2">
        <v>43</v>
      </c>
      <c r="H766" s="2" t="s">
        <v>21</v>
      </c>
      <c r="I766" s="2">
        <v>4</v>
      </c>
      <c r="J766" s="2">
        <v>50</v>
      </c>
      <c r="K766" s="2">
        <v>200</v>
      </c>
      <c r="M766" s="2">
        <v>200</v>
      </c>
      <c r="N766" t="str" cm="1">
        <f t="array" ref="N766">IF(M766=Table5[[#This Row],[Total Amount]],"Correct",Check)</f>
        <v>Correct</v>
      </c>
    </row>
    <row r="767" spans="3:14" x14ac:dyDescent="0.25">
      <c r="C767" s="2">
        <v>766</v>
      </c>
      <c r="D767" s="10">
        <v>44982</v>
      </c>
      <c r="E767" s="2" t="s">
        <v>786</v>
      </c>
      <c r="F767" s="2" t="s">
        <v>17</v>
      </c>
      <c r="G767" s="2">
        <v>38</v>
      </c>
      <c r="H767" s="2" t="s">
        <v>23</v>
      </c>
      <c r="I767" s="2">
        <v>3</v>
      </c>
      <c r="J767" s="2">
        <v>300</v>
      </c>
      <c r="K767" s="2">
        <v>900</v>
      </c>
      <c r="M767" s="2">
        <v>900</v>
      </c>
      <c r="N767" t="str" cm="1">
        <f t="array" ref="N767">IF(M767=Table5[[#This Row],[Total Amount]],"Correct",Check)</f>
        <v>Correct</v>
      </c>
    </row>
    <row r="768" spans="3:14" x14ac:dyDescent="0.25">
      <c r="C768" s="2">
        <v>767</v>
      </c>
      <c r="D768" s="10">
        <v>45223</v>
      </c>
      <c r="E768" s="2" t="s">
        <v>787</v>
      </c>
      <c r="F768" s="2" t="s">
        <v>17</v>
      </c>
      <c r="G768" s="2">
        <v>39</v>
      </c>
      <c r="H768" s="2" t="s">
        <v>18</v>
      </c>
      <c r="I768" s="2">
        <v>3</v>
      </c>
      <c r="J768" s="2">
        <v>25</v>
      </c>
      <c r="K768" s="2">
        <v>75</v>
      </c>
      <c r="M768" s="2">
        <v>75</v>
      </c>
      <c r="N768" t="str" cm="1">
        <f t="array" ref="N768">IF(M768=Table5[[#This Row],[Total Amount]],"Correct",Check)</f>
        <v>Correct</v>
      </c>
    </row>
    <row r="769" spans="3:14" x14ac:dyDescent="0.25">
      <c r="C769" s="2">
        <v>768</v>
      </c>
      <c r="D769" s="10">
        <v>44940</v>
      </c>
      <c r="E769" s="2" t="s">
        <v>788</v>
      </c>
      <c r="F769" s="2" t="s">
        <v>20</v>
      </c>
      <c r="G769" s="2">
        <v>24</v>
      </c>
      <c r="H769" s="2" t="s">
        <v>18</v>
      </c>
      <c r="I769" s="2">
        <v>3</v>
      </c>
      <c r="J769" s="2">
        <v>25</v>
      </c>
      <c r="K769" s="2">
        <v>75</v>
      </c>
      <c r="M769" s="2">
        <v>75</v>
      </c>
      <c r="N769" t="str" cm="1">
        <f t="array" ref="N769">IF(M769=Table5[[#This Row],[Total Amount]],"Correct",Check)</f>
        <v>Correct</v>
      </c>
    </row>
    <row r="770" spans="3:14" x14ac:dyDescent="0.25">
      <c r="C770" s="2">
        <v>769</v>
      </c>
      <c r="D770" s="10">
        <v>45086</v>
      </c>
      <c r="E770" s="2" t="s">
        <v>789</v>
      </c>
      <c r="F770" s="2" t="s">
        <v>20</v>
      </c>
      <c r="G770" s="2">
        <v>31</v>
      </c>
      <c r="H770" s="2" t="s">
        <v>23</v>
      </c>
      <c r="I770" s="2">
        <v>4</v>
      </c>
      <c r="J770" s="2">
        <v>30</v>
      </c>
      <c r="K770" s="2">
        <v>120</v>
      </c>
      <c r="M770" s="2">
        <v>120</v>
      </c>
      <c r="N770" t="str" cm="1">
        <f t="array" ref="N770">IF(M770=Table5[[#This Row],[Total Amount]],"Correct",Check)</f>
        <v>Correct</v>
      </c>
    </row>
    <row r="771" spans="3:14" x14ac:dyDescent="0.25">
      <c r="C771" s="2">
        <v>770</v>
      </c>
      <c r="D771" s="10">
        <v>45221</v>
      </c>
      <c r="E771" s="2" t="s">
        <v>790</v>
      </c>
      <c r="F771" s="2" t="s">
        <v>17</v>
      </c>
      <c r="G771" s="2">
        <v>32</v>
      </c>
      <c r="H771" s="2" t="s">
        <v>21</v>
      </c>
      <c r="I771" s="2">
        <v>1</v>
      </c>
      <c r="J771" s="2">
        <v>50</v>
      </c>
      <c r="K771" s="2">
        <v>50</v>
      </c>
      <c r="M771" s="2">
        <v>50</v>
      </c>
      <c r="N771" t="str" cm="1">
        <f t="array" ref="N771">IF(M771=Table5[[#This Row],[Total Amount]],"Correct",Check)</f>
        <v>Correct</v>
      </c>
    </row>
    <row r="772" spans="3:14" x14ac:dyDescent="0.25">
      <c r="C772" s="2">
        <v>771</v>
      </c>
      <c r="D772" s="10">
        <v>45273</v>
      </c>
      <c r="E772" s="2" t="s">
        <v>791</v>
      </c>
      <c r="F772" s="2" t="s">
        <v>17</v>
      </c>
      <c r="G772" s="2">
        <v>24</v>
      </c>
      <c r="H772" s="2" t="s">
        <v>23</v>
      </c>
      <c r="I772" s="2">
        <v>2</v>
      </c>
      <c r="J772" s="2">
        <v>25</v>
      </c>
      <c r="K772" s="2">
        <v>50</v>
      </c>
      <c r="M772" s="2">
        <v>50</v>
      </c>
      <c r="N772" t="str" cm="1">
        <f t="array" ref="N772">IF(M772=Table5[[#This Row],[Total Amount]],"Correct",Check)</f>
        <v>Correct</v>
      </c>
    </row>
    <row r="773" spans="3:14" x14ac:dyDescent="0.25">
      <c r="C773" s="2">
        <v>772</v>
      </c>
      <c r="D773" s="10">
        <v>45119</v>
      </c>
      <c r="E773" s="2" t="s">
        <v>792</v>
      </c>
      <c r="F773" s="2" t="s">
        <v>17</v>
      </c>
      <c r="G773" s="2">
        <v>26</v>
      </c>
      <c r="H773" s="2" t="s">
        <v>23</v>
      </c>
      <c r="I773" s="2">
        <v>1</v>
      </c>
      <c r="J773" s="2">
        <v>30</v>
      </c>
      <c r="K773" s="2">
        <v>30</v>
      </c>
      <c r="M773" s="2">
        <v>30</v>
      </c>
      <c r="N773" t="str" cm="1">
        <f t="array" ref="N773">IF(M773=Table5[[#This Row],[Total Amount]],"Correct",Check)</f>
        <v>Correct</v>
      </c>
    </row>
    <row r="774" spans="3:14" x14ac:dyDescent="0.25">
      <c r="C774" s="2">
        <v>773</v>
      </c>
      <c r="D774" s="10">
        <v>45130</v>
      </c>
      <c r="E774" s="2" t="s">
        <v>793</v>
      </c>
      <c r="F774" s="2" t="s">
        <v>17</v>
      </c>
      <c r="G774" s="2">
        <v>25</v>
      </c>
      <c r="H774" s="2" t="s">
        <v>23</v>
      </c>
      <c r="I774" s="2">
        <v>4</v>
      </c>
      <c r="J774" s="2">
        <v>500</v>
      </c>
      <c r="K774" s="2">
        <v>2000</v>
      </c>
      <c r="M774" s="2">
        <v>2000</v>
      </c>
      <c r="N774" t="str" cm="1">
        <f t="array" ref="N774">IF(M774=Table5[[#This Row],[Total Amount]],"Correct",Check)</f>
        <v>Correct</v>
      </c>
    </row>
    <row r="775" spans="3:14" x14ac:dyDescent="0.25">
      <c r="C775" s="2">
        <v>774</v>
      </c>
      <c r="D775" s="10">
        <v>45028</v>
      </c>
      <c r="E775" s="2" t="s">
        <v>794</v>
      </c>
      <c r="F775" s="2" t="s">
        <v>20</v>
      </c>
      <c r="G775" s="2">
        <v>40</v>
      </c>
      <c r="H775" s="2" t="s">
        <v>21</v>
      </c>
      <c r="I775" s="2">
        <v>2</v>
      </c>
      <c r="J775" s="2">
        <v>25</v>
      </c>
      <c r="K775" s="2">
        <v>50</v>
      </c>
      <c r="M775" s="2">
        <v>50</v>
      </c>
      <c r="N775" t="str" cm="1">
        <f t="array" ref="N775">IF(M775=Table5[[#This Row],[Total Amount]],"Correct",Check)</f>
        <v>Correct</v>
      </c>
    </row>
    <row r="776" spans="3:14" x14ac:dyDescent="0.25">
      <c r="C776" s="2">
        <v>775</v>
      </c>
      <c r="D776" s="10">
        <v>44965</v>
      </c>
      <c r="E776" s="2" t="s">
        <v>795</v>
      </c>
      <c r="F776" s="2" t="s">
        <v>20</v>
      </c>
      <c r="G776" s="2">
        <v>46</v>
      </c>
      <c r="H776" s="2" t="s">
        <v>23</v>
      </c>
      <c r="I776" s="2">
        <v>4</v>
      </c>
      <c r="J776" s="2">
        <v>25</v>
      </c>
      <c r="K776" s="2">
        <v>100</v>
      </c>
      <c r="M776" s="2">
        <v>100</v>
      </c>
      <c r="N776" t="str" cm="1">
        <f t="array" ref="N776">IF(M776=Table5[[#This Row],[Total Amount]],"Correct",Check)</f>
        <v>Correct</v>
      </c>
    </row>
    <row r="777" spans="3:14" x14ac:dyDescent="0.25">
      <c r="C777" s="2">
        <v>776</v>
      </c>
      <c r="D777" s="10">
        <v>45230</v>
      </c>
      <c r="E777" s="2" t="s">
        <v>796</v>
      </c>
      <c r="F777" s="2" t="s">
        <v>17</v>
      </c>
      <c r="G777" s="2">
        <v>35</v>
      </c>
      <c r="H777" s="2" t="s">
        <v>21</v>
      </c>
      <c r="I777" s="2">
        <v>3</v>
      </c>
      <c r="J777" s="2">
        <v>30</v>
      </c>
      <c r="K777" s="2">
        <v>90</v>
      </c>
      <c r="M777" s="2">
        <v>90</v>
      </c>
      <c r="N777" t="str" cm="1">
        <f t="array" ref="N777">IF(M777=Table5[[#This Row],[Total Amount]],"Correct",Check)</f>
        <v>Correct</v>
      </c>
    </row>
    <row r="778" spans="3:14" x14ac:dyDescent="0.25">
      <c r="C778" s="2">
        <v>777</v>
      </c>
      <c r="D778" s="10">
        <v>45280</v>
      </c>
      <c r="E778" s="2" t="s">
        <v>797</v>
      </c>
      <c r="F778" s="2" t="s">
        <v>17</v>
      </c>
      <c r="G778" s="2">
        <v>48</v>
      </c>
      <c r="H778" s="2" t="s">
        <v>23</v>
      </c>
      <c r="I778" s="2">
        <v>3</v>
      </c>
      <c r="J778" s="2">
        <v>50</v>
      </c>
      <c r="K778" s="2">
        <v>150</v>
      </c>
      <c r="M778" s="2">
        <v>150</v>
      </c>
      <c r="N778" t="str" cm="1">
        <f t="array" ref="N778">IF(M778=Table5[[#This Row],[Total Amount]],"Correct",Check)</f>
        <v>Correct</v>
      </c>
    </row>
    <row r="779" spans="3:14" x14ac:dyDescent="0.25">
      <c r="C779" s="2">
        <v>778</v>
      </c>
      <c r="D779" s="10">
        <v>45248</v>
      </c>
      <c r="E779" s="2" t="s">
        <v>798</v>
      </c>
      <c r="F779" s="2" t="s">
        <v>20</v>
      </c>
      <c r="G779" s="2">
        <v>47</v>
      </c>
      <c r="H779" s="2" t="s">
        <v>18</v>
      </c>
      <c r="I779" s="2">
        <v>4</v>
      </c>
      <c r="J779" s="2">
        <v>25</v>
      </c>
      <c r="K779" s="2">
        <v>100</v>
      </c>
      <c r="M779" s="2">
        <v>100</v>
      </c>
      <c r="N779" t="str" cm="1">
        <f t="array" ref="N779">IF(M779=Table5[[#This Row],[Total Amount]],"Correct",Check)</f>
        <v>Correct</v>
      </c>
    </row>
    <row r="780" spans="3:14" x14ac:dyDescent="0.25">
      <c r="C780" s="2">
        <v>779</v>
      </c>
      <c r="D780" s="10">
        <v>45051</v>
      </c>
      <c r="E780" s="2" t="s">
        <v>799</v>
      </c>
      <c r="F780" s="2" t="s">
        <v>20</v>
      </c>
      <c r="G780" s="2">
        <v>56</v>
      </c>
      <c r="H780" s="2" t="s">
        <v>23</v>
      </c>
      <c r="I780" s="2">
        <v>2</v>
      </c>
      <c r="J780" s="2">
        <v>500</v>
      </c>
      <c r="K780" s="2">
        <v>1000</v>
      </c>
      <c r="M780" s="2">
        <v>1000</v>
      </c>
      <c r="N780" t="str" cm="1">
        <f t="array" ref="N780">IF(M780=Table5[[#This Row],[Total Amount]],"Correct",Check)</f>
        <v>Correct</v>
      </c>
    </row>
    <row r="781" spans="3:14" x14ac:dyDescent="0.25">
      <c r="C781" s="2">
        <v>780</v>
      </c>
      <c r="D781" s="10">
        <v>44979</v>
      </c>
      <c r="E781" s="2" t="s">
        <v>800</v>
      </c>
      <c r="F781" s="2" t="s">
        <v>17</v>
      </c>
      <c r="G781" s="2">
        <v>52</v>
      </c>
      <c r="H781" s="2" t="s">
        <v>23</v>
      </c>
      <c r="I781" s="2">
        <v>2</v>
      </c>
      <c r="J781" s="2">
        <v>25</v>
      </c>
      <c r="K781" s="2">
        <v>50</v>
      </c>
      <c r="M781" s="2">
        <v>50</v>
      </c>
      <c r="N781" t="str" cm="1">
        <f t="array" ref="N781">IF(M781=Table5[[#This Row],[Total Amount]],"Correct",Check)</f>
        <v>Correct</v>
      </c>
    </row>
    <row r="782" spans="3:14" x14ac:dyDescent="0.25">
      <c r="C782" s="2">
        <v>781</v>
      </c>
      <c r="D782" s="10">
        <v>45283</v>
      </c>
      <c r="E782" s="2" t="s">
        <v>801</v>
      </c>
      <c r="F782" s="2" t="s">
        <v>17</v>
      </c>
      <c r="G782" s="2">
        <v>35</v>
      </c>
      <c r="H782" s="2" t="s">
        <v>18</v>
      </c>
      <c r="I782" s="2">
        <v>1</v>
      </c>
      <c r="J782" s="2">
        <v>500</v>
      </c>
      <c r="K782" s="2">
        <v>500</v>
      </c>
      <c r="M782" s="2">
        <v>500</v>
      </c>
      <c r="N782" t="str" cm="1">
        <f t="array" ref="N782">IF(M782=Table5[[#This Row],[Total Amount]],"Correct",Check)</f>
        <v>Correct</v>
      </c>
    </row>
    <row r="783" spans="3:14" x14ac:dyDescent="0.25">
      <c r="C783" s="2">
        <v>782</v>
      </c>
      <c r="D783" s="10">
        <v>45081</v>
      </c>
      <c r="E783" s="2" t="s">
        <v>802</v>
      </c>
      <c r="F783" s="2" t="s">
        <v>17</v>
      </c>
      <c r="G783" s="2">
        <v>59</v>
      </c>
      <c r="H783" s="2" t="s">
        <v>21</v>
      </c>
      <c r="I783" s="2">
        <v>3</v>
      </c>
      <c r="J783" s="2">
        <v>300</v>
      </c>
      <c r="K783" s="2">
        <v>900</v>
      </c>
      <c r="M783" s="2">
        <v>900</v>
      </c>
      <c r="N783" t="str" cm="1">
        <f t="array" ref="N783">IF(M783=Table5[[#This Row],[Total Amount]],"Correct",Check)</f>
        <v>Correct</v>
      </c>
    </row>
    <row r="784" spans="3:14" x14ac:dyDescent="0.25">
      <c r="C784" s="2">
        <v>783</v>
      </c>
      <c r="D784" s="10">
        <v>45277</v>
      </c>
      <c r="E784" s="2" t="s">
        <v>803</v>
      </c>
      <c r="F784" s="2" t="s">
        <v>20</v>
      </c>
      <c r="G784" s="2">
        <v>56</v>
      </c>
      <c r="H784" s="2" t="s">
        <v>21</v>
      </c>
      <c r="I784" s="2">
        <v>1</v>
      </c>
      <c r="J784" s="2">
        <v>300</v>
      </c>
      <c r="K784" s="2">
        <v>300</v>
      </c>
      <c r="M784" s="2">
        <v>300</v>
      </c>
      <c r="N784" t="str" cm="1">
        <f t="array" ref="N784">IF(M784=Table5[[#This Row],[Total Amount]],"Correct",Check)</f>
        <v>Correct</v>
      </c>
    </row>
    <row r="785" spans="3:14" x14ac:dyDescent="0.25">
      <c r="C785" s="2">
        <v>784</v>
      </c>
      <c r="D785" s="10">
        <v>45234</v>
      </c>
      <c r="E785" s="2" t="s">
        <v>804</v>
      </c>
      <c r="F785" s="2" t="s">
        <v>20</v>
      </c>
      <c r="G785" s="2">
        <v>34</v>
      </c>
      <c r="H785" s="2" t="s">
        <v>23</v>
      </c>
      <c r="I785" s="2">
        <v>1</v>
      </c>
      <c r="J785" s="2">
        <v>500</v>
      </c>
      <c r="K785" s="2">
        <v>500</v>
      </c>
      <c r="M785" s="2">
        <v>500</v>
      </c>
      <c r="N785" t="str" cm="1">
        <f t="array" ref="N785">IF(M785=Table5[[#This Row],[Total Amount]],"Correct",Check)</f>
        <v>Correct</v>
      </c>
    </row>
    <row r="786" spans="3:14" x14ac:dyDescent="0.25">
      <c r="C786" s="2">
        <v>785</v>
      </c>
      <c r="D786" s="10">
        <v>44988</v>
      </c>
      <c r="E786" s="2" t="s">
        <v>805</v>
      </c>
      <c r="F786" s="2" t="s">
        <v>20</v>
      </c>
      <c r="G786" s="2">
        <v>31</v>
      </c>
      <c r="H786" s="2" t="s">
        <v>18</v>
      </c>
      <c r="I786" s="2">
        <v>4</v>
      </c>
      <c r="J786" s="2">
        <v>50</v>
      </c>
      <c r="K786" s="2">
        <v>200</v>
      </c>
      <c r="M786" s="2">
        <v>200</v>
      </c>
      <c r="N786" t="str" cm="1">
        <f t="array" ref="N786">IF(M786=Table5[[#This Row],[Total Amount]],"Correct",Check)</f>
        <v>Correct</v>
      </c>
    </row>
    <row r="787" spans="3:14" x14ac:dyDescent="0.25">
      <c r="C787" s="2">
        <v>786</v>
      </c>
      <c r="D787" s="10">
        <v>45216</v>
      </c>
      <c r="E787" s="2" t="s">
        <v>806</v>
      </c>
      <c r="F787" s="2" t="s">
        <v>17</v>
      </c>
      <c r="G787" s="2">
        <v>48</v>
      </c>
      <c r="H787" s="2" t="s">
        <v>21</v>
      </c>
      <c r="I787" s="2">
        <v>4</v>
      </c>
      <c r="J787" s="2">
        <v>25</v>
      </c>
      <c r="K787" s="2">
        <v>100</v>
      </c>
      <c r="M787" s="2">
        <v>100</v>
      </c>
      <c r="N787" t="str" cm="1">
        <f t="array" ref="N787">IF(M787=Table5[[#This Row],[Total Amount]],"Correct",Check)</f>
        <v>Correct</v>
      </c>
    </row>
    <row r="788" spans="3:14" x14ac:dyDescent="0.25">
      <c r="C788" s="2">
        <v>787</v>
      </c>
      <c r="D788" s="10">
        <v>44948</v>
      </c>
      <c r="E788" s="2" t="s">
        <v>807</v>
      </c>
      <c r="F788" s="2" t="s">
        <v>17</v>
      </c>
      <c r="G788" s="2">
        <v>41</v>
      </c>
      <c r="H788" s="2" t="s">
        <v>23</v>
      </c>
      <c r="I788" s="2">
        <v>1</v>
      </c>
      <c r="J788" s="2">
        <v>25</v>
      </c>
      <c r="K788" s="2">
        <v>25</v>
      </c>
      <c r="M788" s="2">
        <v>25</v>
      </c>
      <c r="N788" t="str" cm="1">
        <f t="array" ref="N788">IF(M788=Table5[[#This Row],[Total Amount]],"Correct",Check)</f>
        <v>Correct</v>
      </c>
    </row>
    <row r="789" spans="3:14" x14ac:dyDescent="0.25">
      <c r="C789" s="2">
        <v>788</v>
      </c>
      <c r="D789" s="10">
        <v>45104</v>
      </c>
      <c r="E789" s="2" t="s">
        <v>808</v>
      </c>
      <c r="F789" s="2" t="s">
        <v>20</v>
      </c>
      <c r="G789" s="2">
        <v>52</v>
      </c>
      <c r="H789" s="2" t="s">
        <v>18</v>
      </c>
      <c r="I789" s="2">
        <v>3</v>
      </c>
      <c r="J789" s="2">
        <v>300</v>
      </c>
      <c r="K789" s="2">
        <v>900</v>
      </c>
      <c r="M789" s="2">
        <v>900</v>
      </c>
      <c r="N789" t="str" cm="1">
        <f t="array" ref="N789">IF(M789=Table5[[#This Row],[Total Amount]],"Correct",Check)</f>
        <v>Correct</v>
      </c>
    </row>
    <row r="790" spans="3:14" x14ac:dyDescent="0.25">
      <c r="C790" s="2">
        <v>789</v>
      </c>
      <c r="D790" s="10">
        <v>45199</v>
      </c>
      <c r="E790" s="2" t="s">
        <v>809</v>
      </c>
      <c r="F790" s="2" t="s">
        <v>20</v>
      </c>
      <c r="G790" s="2">
        <v>61</v>
      </c>
      <c r="H790" s="2" t="s">
        <v>21</v>
      </c>
      <c r="I790" s="2">
        <v>4</v>
      </c>
      <c r="J790" s="2">
        <v>500</v>
      </c>
      <c r="K790" s="2">
        <v>2000</v>
      </c>
      <c r="M790" s="2">
        <v>2000</v>
      </c>
      <c r="N790" t="str" cm="1">
        <f t="array" ref="N790">IF(M790=Table5[[#This Row],[Total Amount]],"Correct",Check)</f>
        <v>Correct</v>
      </c>
    </row>
    <row r="791" spans="3:14" x14ac:dyDescent="0.25">
      <c r="C791" s="2">
        <v>790</v>
      </c>
      <c r="D791" s="10">
        <v>45146</v>
      </c>
      <c r="E791" s="2" t="s">
        <v>810</v>
      </c>
      <c r="F791" s="2" t="s">
        <v>17</v>
      </c>
      <c r="G791" s="2">
        <v>62</v>
      </c>
      <c r="H791" s="2" t="s">
        <v>21</v>
      </c>
      <c r="I791" s="2">
        <v>1</v>
      </c>
      <c r="J791" s="2">
        <v>25</v>
      </c>
      <c r="K791" s="2">
        <v>25</v>
      </c>
      <c r="M791" s="2">
        <v>25</v>
      </c>
      <c r="N791" t="str" cm="1">
        <f t="array" ref="N791">IF(M791=Table5[[#This Row],[Total Amount]],"Correct",Check)</f>
        <v>Correct</v>
      </c>
    </row>
    <row r="792" spans="3:14" x14ac:dyDescent="0.25">
      <c r="C792" s="2">
        <v>791</v>
      </c>
      <c r="D792" s="10">
        <v>45265</v>
      </c>
      <c r="E792" s="2" t="s">
        <v>811</v>
      </c>
      <c r="F792" s="2" t="s">
        <v>20</v>
      </c>
      <c r="G792" s="2">
        <v>51</v>
      </c>
      <c r="H792" s="2" t="s">
        <v>18</v>
      </c>
      <c r="I792" s="2">
        <v>1</v>
      </c>
      <c r="J792" s="2">
        <v>25</v>
      </c>
      <c r="K792" s="2">
        <v>25</v>
      </c>
      <c r="M792" s="2">
        <v>25</v>
      </c>
      <c r="N792" t="str" cm="1">
        <f t="array" ref="N792">IF(M792=Table5[[#This Row],[Total Amount]],"Correct",Check)</f>
        <v>Correct</v>
      </c>
    </row>
    <row r="793" spans="3:14" x14ac:dyDescent="0.25">
      <c r="C793" s="2">
        <v>792</v>
      </c>
      <c r="D793" s="10">
        <v>45116</v>
      </c>
      <c r="E793" s="2" t="s">
        <v>812</v>
      </c>
      <c r="F793" s="2" t="s">
        <v>20</v>
      </c>
      <c r="G793" s="2">
        <v>20</v>
      </c>
      <c r="H793" s="2" t="s">
        <v>18</v>
      </c>
      <c r="I793" s="2">
        <v>1</v>
      </c>
      <c r="J793" s="2">
        <v>50</v>
      </c>
      <c r="K793" s="2">
        <v>50</v>
      </c>
      <c r="M793" s="2">
        <v>50</v>
      </c>
      <c r="N793" t="str" cm="1">
        <f t="array" ref="N793">IF(M793=Table5[[#This Row],[Total Amount]],"Correct",Check)</f>
        <v>Correct</v>
      </c>
    </row>
    <row r="794" spans="3:14" x14ac:dyDescent="0.25">
      <c r="C794" s="2">
        <v>793</v>
      </c>
      <c r="D794" s="10">
        <v>44962</v>
      </c>
      <c r="E794" s="2" t="s">
        <v>813</v>
      </c>
      <c r="F794" s="2" t="s">
        <v>17</v>
      </c>
      <c r="G794" s="2">
        <v>54</v>
      </c>
      <c r="H794" s="2" t="s">
        <v>18</v>
      </c>
      <c r="I794" s="2">
        <v>1</v>
      </c>
      <c r="J794" s="2">
        <v>30</v>
      </c>
      <c r="K794" s="2">
        <v>30</v>
      </c>
      <c r="M794" s="2">
        <v>30</v>
      </c>
      <c r="N794" t="str" cm="1">
        <f t="array" ref="N794">IF(M794=Table5[[#This Row],[Total Amount]],"Correct",Check)</f>
        <v>Correct</v>
      </c>
    </row>
    <row r="795" spans="3:14" x14ac:dyDescent="0.25">
      <c r="C795" s="2">
        <v>794</v>
      </c>
      <c r="D795" s="10">
        <v>45186</v>
      </c>
      <c r="E795" s="2" t="s">
        <v>814</v>
      </c>
      <c r="F795" s="2" t="s">
        <v>20</v>
      </c>
      <c r="G795" s="2">
        <v>60</v>
      </c>
      <c r="H795" s="2" t="s">
        <v>18</v>
      </c>
      <c r="I795" s="2">
        <v>1</v>
      </c>
      <c r="J795" s="2">
        <v>300</v>
      </c>
      <c r="K795" s="2">
        <v>300</v>
      </c>
      <c r="M795" s="2">
        <v>300</v>
      </c>
      <c r="N795" t="str" cm="1">
        <f t="array" ref="N795">IF(M795=Table5[[#This Row],[Total Amount]],"Correct",Check)</f>
        <v>Correct</v>
      </c>
    </row>
    <row r="796" spans="3:14" x14ac:dyDescent="0.25">
      <c r="C796" s="2">
        <v>795</v>
      </c>
      <c r="D796" s="10">
        <v>45258</v>
      </c>
      <c r="E796" s="2" t="s">
        <v>815</v>
      </c>
      <c r="F796" s="2" t="s">
        <v>17</v>
      </c>
      <c r="G796" s="2">
        <v>57</v>
      </c>
      <c r="H796" s="2" t="s">
        <v>23</v>
      </c>
      <c r="I796" s="2">
        <v>1</v>
      </c>
      <c r="J796" s="2">
        <v>300</v>
      </c>
      <c r="K796" s="2">
        <v>300</v>
      </c>
      <c r="M796" s="2">
        <v>300</v>
      </c>
      <c r="N796" t="str" cm="1">
        <f t="array" ref="N796">IF(M796=Table5[[#This Row],[Total Amount]],"Correct",Check)</f>
        <v>Correct</v>
      </c>
    </row>
    <row r="797" spans="3:14" x14ac:dyDescent="0.25">
      <c r="C797" s="2">
        <v>796</v>
      </c>
      <c r="D797" s="10">
        <v>45101</v>
      </c>
      <c r="E797" s="2" t="s">
        <v>816</v>
      </c>
      <c r="F797" s="2" t="s">
        <v>17</v>
      </c>
      <c r="G797" s="2">
        <v>43</v>
      </c>
      <c r="H797" s="2" t="s">
        <v>18</v>
      </c>
      <c r="I797" s="2">
        <v>4</v>
      </c>
      <c r="J797" s="2">
        <v>30</v>
      </c>
      <c r="K797" s="2">
        <v>120</v>
      </c>
      <c r="M797" s="2">
        <v>120</v>
      </c>
      <c r="N797" t="str" cm="1">
        <f t="array" ref="N797">IF(M797=Table5[[#This Row],[Total Amount]],"Correct",Check)</f>
        <v>Correct</v>
      </c>
    </row>
    <row r="798" spans="3:14" x14ac:dyDescent="0.25">
      <c r="C798" s="2">
        <v>797</v>
      </c>
      <c r="D798" s="10">
        <v>44933</v>
      </c>
      <c r="E798" s="2" t="s">
        <v>817</v>
      </c>
      <c r="F798" s="2" t="s">
        <v>17</v>
      </c>
      <c r="G798" s="2">
        <v>40</v>
      </c>
      <c r="H798" s="2" t="s">
        <v>21</v>
      </c>
      <c r="I798" s="2">
        <v>3</v>
      </c>
      <c r="J798" s="2">
        <v>25</v>
      </c>
      <c r="K798" s="2">
        <v>75</v>
      </c>
      <c r="M798" s="2">
        <v>75</v>
      </c>
      <c r="N798" t="str" cm="1">
        <f t="array" ref="N798">IF(M798=Table5[[#This Row],[Total Amount]],"Correct",Check)</f>
        <v>Correct</v>
      </c>
    </row>
    <row r="799" spans="3:14" x14ac:dyDescent="0.25">
      <c r="C799" s="2">
        <v>798</v>
      </c>
      <c r="D799" s="10">
        <v>45142</v>
      </c>
      <c r="E799" s="2" t="s">
        <v>818</v>
      </c>
      <c r="F799" s="2" t="s">
        <v>17</v>
      </c>
      <c r="G799" s="2">
        <v>61</v>
      </c>
      <c r="H799" s="2" t="s">
        <v>21</v>
      </c>
      <c r="I799" s="2">
        <v>1</v>
      </c>
      <c r="J799" s="2">
        <v>50</v>
      </c>
      <c r="K799" s="2">
        <v>50</v>
      </c>
      <c r="M799" s="2">
        <v>50</v>
      </c>
      <c r="N799" t="str" cm="1">
        <f t="array" ref="N799">IF(M799=Table5[[#This Row],[Total Amount]],"Correct",Check)</f>
        <v>Correct</v>
      </c>
    </row>
    <row r="800" spans="3:14" x14ac:dyDescent="0.25">
      <c r="C800" s="2">
        <v>799</v>
      </c>
      <c r="D800" s="10">
        <v>45177</v>
      </c>
      <c r="E800" s="2" t="s">
        <v>819</v>
      </c>
      <c r="F800" s="2" t="s">
        <v>17</v>
      </c>
      <c r="G800" s="2">
        <v>56</v>
      </c>
      <c r="H800" s="2" t="s">
        <v>23</v>
      </c>
      <c r="I800" s="2">
        <v>2</v>
      </c>
      <c r="J800" s="2">
        <v>50</v>
      </c>
      <c r="K800" s="2">
        <v>100</v>
      </c>
      <c r="M800" s="2">
        <v>100</v>
      </c>
      <c r="N800" t="str" cm="1">
        <f t="array" ref="N800">IF(M800=Table5[[#This Row],[Total Amount]],"Correct",Check)</f>
        <v>Correct</v>
      </c>
    </row>
    <row r="801" spans="3:14" x14ac:dyDescent="0.25">
      <c r="C801" s="2">
        <v>800</v>
      </c>
      <c r="D801" s="10">
        <v>44981</v>
      </c>
      <c r="E801" s="2" t="s">
        <v>820</v>
      </c>
      <c r="F801" s="2" t="s">
        <v>17</v>
      </c>
      <c r="G801" s="2">
        <v>32</v>
      </c>
      <c r="H801" s="2" t="s">
        <v>21</v>
      </c>
      <c r="I801" s="2">
        <v>4</v>
      </c>
      <c r="J801" s="2">
        <v>300</v>
      </c>
      <c r="K801" s="2">
        <v>1200</v>
      </c>
      <c r="M801" s="2">
        <v>1200</v>
      </c>
      <c r="N801" t="str" cm="1">
        <f t="array" ref="N801">IF(M801=Table5[[#This Row],[Total Amount]],"Correct",Check)</f>
        <v>Correct</v>
      </c>
    </row>
    <row r="802" spans="3:14" x14ac:dyDescent="0.25">
      <c r="C802" s="2">
        <v>801</v>
      </c>
      <c r="D802" s="10">
        <v>45148</v>
      </c>
      <c r="E802" s="2" t="s">
        <v>821</v>
      </c>
      <c r="F802" s="2" t="s">
        <v>17</v>
      </c>
      <c r="G802" s="2">
        <v>21</v>
      </c>
      <c r="H802" s="2" t="s">
        <v>21</v>
      </c>
      <c r="I802" s="2">
        <v>4</v>
      </c>
      <c r="J802" s="2">
        <v>50</v>
      </c>
      <c r="K802" s="2">
        <v>200</v>
      </c>
      <c r="M802" s="2">
        <v>200</v>
      </c>
      <c r="N802" t="str" cm="1">
        <f t="array" ref="N802">IF(M802=Table5[[#This Row],[Total Amount]],"Correct",Check)</f>
        <v>Correct</v>
      </c>
    </row>
    <row r="803" spans="3:14" x14ac:dyDescent="0.25">
      <c r="C803" s="2">
        <v>802</v>
      </c>
      <c r="D803" s="10">
        <v>45112</v>
      </c>
      <c r="E803" s="2" t="s">
        <v>822</v>
      </c>
      <c r="F803" s="2" t="s">
        <v>20</v>
      </c>
      <c r="G803" s="2">
        <v>46</v>
      </c>
      <c r="H803" s="2" t="s">
        <v>18</v>
      </c>
      <c r="I803" s="2">
        <v>1</v>
      </c>
      <c r="J803" s="2">
        <v>30</v>
      </c>
      <c r="K803" s="2">
        <v>30</v>
      </c>
      <c r="M803" s="2">
        <v>30</v>
      </c>
      <c r="N803" t="str" cm="1">
        <f t="array" ref="N803">IF(M803=Table5[[#This Row],[Total Amount]],"Correct",Check)</f>
        <v>Correct</v>
      </c>
    </row>
    <row r="804" spans="3:14" x14ac:dyDescent="0.25">
      <c r="C804" s="2">
        <v>803</v>
      </c>
      <c r="D804" s="10">
        <v>45252</v>
      </c>
      <c r="E804" s="2" t="s">
        <v>823</v>
      </c>
      <c r="F804" s="2" t="s">
        <v>17</v>
      </c>
      <c r="G804" s="2">
        <v>39</v>
      </c>
      <c r="H804" s="2" t="s">
        <v>21</v>
      </c>
      <c r="I804" s="2">
        <v>4</v>
      </c>
      <c r="J804" s="2">
        <v>25</v>
      </c>
      <c r="K804" s="2">
        <v>100</v>
      </c>
      <c r="M804" s="2">
        <v>100</v>
      </c>
      <c r="N804" t="str" cm="1">
        <f t="array" ref="N804">IF(M804=Table5[[#This Row],[Total Amount]],"Correct",Check)</f>
        <v>Correct</v>
      </c>
    </row>
    <row r="805" spans="3:14" x14ac:dyDescent="0.25">
      <c r="C805" s="2">
        <v>804</v>
      </c>
      <c r="D805" s="10">
        <v>45162</v>
      </c>
      <c r="E805" s="2" t="s">
        <v>824</v>
      </c>
      <c r="F805" s="2" t="s">
        <v>17</v>
      </c>
      <c r="G805" s="2">
        <v>42</v>
      </c>
      <c r="H805" s="2" t="s">
        <v>23</v>
      </c>
      <c r="I805" s="2">
        <v>1</v>
      </c>
      <c r="J805" s="2">
        <v>30</v>
      </c>
      <c r="K805" s="2">
        <v>30</v>
      </c>
      <c r="M805" s="2">
        <v>30</v>
      </c>
      <c r="N805" t="str" cm="1">
        <f t="array" ref="N805">IF(M805=Table5[[#This Row],[Total Amount]],"Correct",Check)</f>
        <v>Correct</v>
      </c>
    </row>
    <row r="806" spans="3:14" x14ac:dyDescent="0.25">
      <c r="C806" s="2">
        <v>805</v>
      </c>
      <c r="D806" s="10">
        <v>45289</v>
      </c>
      <c r="E806" s="2" t="s">
        <v>825</v>
      </c>
      <c r="F806" s="2" t="s">
        <v>20</v>
      </c>
      <c r="G806" s="2">
        <v>30</v>
      </c>
      <c r="H806" s="2" t="s">
        <v>18</v>
      </c>
      <c r="I806" s="2">
        <v>3</v>
      </c>
      <c r="J806" s="2">
        <v>500</v>
      </c>
      <c r="K806" s="2">
        <v>1500</v>
      </c>
      <c r="M806" s="2">
        <v>1500</v>
      </c>
      <c r="N806" t="str" cm="1">
        <f t="array" ref="N806">IF(M806=Table5[[#This Row],[Total Amount]],"Correct",Check)</f>
        <v>Correct</v>
      </c>
    </row>
    <row r="807" spans="3:14" x14ac:dyDescent="0.25">
      <c r="C807" s="2">
        <v>806</v>
      </c>
      <c r="D807" s="10">
        <v>45005</v>
      </c>
      <c r="E807" s="2" t="s">
        <v>826</v>
      </c>
      <c r="F807" s="2" t="s">
        <v>20</v>
      </c>
      <c r="G807" s="2">
        <v>35</v>
      </c>
      <c r="H807" s="2" t="s">
        <v>18</v>
      </c>
      <c r="I807" s="2">
        <v>3</v>
      </c>
      <c r="J807" s="2">
        <v>300</v>
      </c>
      <c r="K807" s="2">
        <v>900</v>
      </c>
      <c r="M807" s="2">
        <v>900</v>
      </c>
      <c r="N807" t="str" cm="1">
        <f t="array" ref="N807">IF(M807=Table5[[#This Row],[Total Amount]],"Correct",Check)</f>
        <v>Correct</v>
      </c>
    </row>
    <row r="808" spans="3:14" x14ac:dyDescent="0.25">
      <c r="C808" s="2">
        <v>807</v>
      </c>
      <c r="D808" s="10">
        <v>45149</v>
      </c>
      <c r="E808" s="2" t="s">
        <v>827</v>
      </c>
      <c r="F808" s="2" t="s">
        <v>20</v>
      </c>
      <c r="G808" s="2">
        <v>50</v>
      </c>
      <c r="H808" s="2" t="s">
        <v>23</v>
      </c>
      <c r="I808" s="2">
        <v>4</v>
      </c>
      <c r="J808" s="2">
        <v>50</v>
      </c>
      <c r="K808" s="2">
        <v>200</v>
      </c>
      <c r="M808" s="2">
        <v>200</v>
      </c>
      <c r="N808" t="str" cm="1">
        <f t="array" ref="N808">IF(M808=Table5[[#This Row],[Total Amount]],"Correct",Check)</f>
        <v>Correct</v>
      </c>
    </row>
    <row r="809" spans="3:14" x14ac:dyDescent="0.25">
      <c r="C809" s="2">
        <v>808</v>
      </c>
      <c r="D809" s="10">
        <v>45017</v>
      </c>
      <c r="E809" s="2" t="s">
        <v>828</v>
      </c>
      <c r="F809" s="2" t="s">
        <v>17</v>
      </c>
      <c r="G809" s="2">
        <v>33</v>
      </c>
      <c r="H809" s="2" t="s">
        <v>18</v>
      </c>
      <c r="I809" s="2">
        <v>4</v>
      </c>
      <c r="J809" s="2">
        <v>500</v>
      </c>
      <c r="K809" s="2">
        <v>2000</v>
      </c>
      <c r="M809" s="2">
        <v>2000</v>
      </c>
      <c r="N809" t="str" cm="1">
        <f t="array" ref="N809">IF(M809=Table5[[#This Row],[Total Amount]],"Correct",Check)</f>
        <v>Correct</v>
      </c>
    </row>
    <row r="810" spans="3:14" x14ac:dyDescent="0.25">
      <c r="C810" s="2">
        <v>809</v>
      </c>
      <c r="D810" s="10">
        <v>45194</v>
      </c>
      <c r="E810" s="2" t="s">
        <v>829</v>
      </c>
      <c r="F810" s="2" t="s">
        <v>20</v>
      </c>
      <c r="G810" s="2">
        <v>62</v>
      </c>
      <c r="H810" s="2" t="s">
        <v>18</v>
      </c>
      <c r="I810" s="2">
        <v>2</v>
      </c>
      <c r="J810" s="2">
        <v>50</v>
      </c>
      <c r="K810" s="2">
        <v>100</v>
      </c>
      <c r="M810" s="2">
        <v>100</v>
      </c>
      <c r="N810" t="str" cm="1">
        <f t="array" ref="N810">IF(M810=Table5[[#This Row],[Total Amount]],"Correct",Check)</f>
        <v>Correct</v>
      </c>
    </row>
    <row r="811" spans="3:14" x14ac:dyDescent="0.25">
      <c r="C811" s="2">
        <v>810</v>
      </c>
      <c r="D811" s="10">
        <v>45260</v>
      </c>
      <c r="E811" s="2" t="s">
        <v>830</v>
      </c>
      <c r="F811" s="2" t="s">
        <v>17</v>
      </c>
      <c r="G811" s="2">
        <v>59</v>
      </c>
      <c r="H811" s="2" t="s">
        <v>23</v>
      </c>
      <c r="I811" s="2">
        <v>4</v>
      </c>
      <c r="J811" s="2">
        <v>25</v>
      </c>
      <c r="K811" s="2">
        <v>100</v>
      </c>
      <c r="M811" s="2">
        <v>100</v>
      </c>
      <c r="N811" t="str" cm="1">
        <f t="array" ref="N811">IF(M811=Table5[[#This Row],[Total Amount]],"Correct",Check)</f>
        <v>Correct</v>
      </c>
    </row>
    <row r="812" spans="3:14" x14ac:dyDescent="0.25">
      <c r="C812" s="2">
        <v>811</v>
      </c>
      <c r="D812" s="10">
        <v>45065</v>
      </c>
      <c r="E812" s="2" t="s">
        <v>831</v>
      </c>
      <c r="F812" s="2" t="s">
        <v>17</v>
      </c>
      <c r="G812" s="2">
        <v>61</v>
      </c>
      <c r="H812" s="2" t="s">
        <v>18</v>
      </c>
      <c r="I812" s="2">
        <v>2</v>
      </c>
      <c r="J812" s="2">
        <v>25</v>
      </c>
      <c r="K812" s="2">
        <v>50</v>
      </c>
      <c r="M812" s="2">
        <v>50</v>
      </c>
      <c r="N812" t="str" cm="1">
        <f t="array" ref="N812">IF(M812=Table5[[#This Row],[Total Amount]],"Correct",Check)</f>
        <v>Correct</v>
      </c>
    </row>
    <row r="813" spans="3:14" x14ac:dyDescent="0.25">
      <c r="C813" s="2">
        <v>812</v>
      </c>
      <c r="D813" s="10">
        <v>45242</v>
      </c>
      <c r="E813" s="2" t="s">
        <v>832</v>
      </c>
      <c r="F813" s="2" t="s">
        <v>17</v>
      </c>
      <c r="G813" s="2">
        <v>19</v>
      </c>
      <c r="H813" s="2" t="s">
        <v>23</v>
      </c>
      <c r="I813" s="2">
        <v>3</v>
      </c>
      <c r="J813" s="2">
        <v>25</v>
      </c>
      <c r="K813" s="2">
        <v>75</v>
      </c>
      <c r="M813" s="2">
        <v>75</v>
      </c>
      <c r="N813" t="str" cm="1">
        <f t="array" ref="N813">IF(M813=Table5[[#This Row],[Total Amount]],"Correct",Check)</f>
        <v>Correct</v>
      </c>
    </row>
    <row r="814" spans="3:14" x14ac:dyDescent="0.25">
      <c r="C814" s="2">
        <v>813</v>
      </c>
      <c r="D814" s="10">
        <v>45202</v>
      </c>
      <c r="E814" s="2" t="s">
        <v>833</v>
      </c>
      <c r="F814" s="2" t="s">
        <v>17</v>
      </c>
      <c r="G814" s="2">
        <v>52</v>
      </c>
      <c r="H814" s="2" t="s">
        <v>23</v>
      </c>
      <c r="I814" s="2">
        <v>3</v>
      </c>
      <c r="J814" s="2">
        <v>50</v>
      </c>
      <c r="K814" s="2">
        <v>150</v>
      </c>
      <c r="M814" s="2">
        <v>150</v>
      </c>
      <c r="N814" t="str" cm="1">
        <f t="array" ref="N814">IF(M814=Table5[[#This Row],[Total Amount]],"Correct",Check)</f>
        <v>Correct</v>
      </c>
    </row>
    <row r="815" spans="3:14" x14ac:dyDescent="0.25">
      <c r="C815" s="2">
        <v>814</v>
      </c>
      <c r="D815" s="10">
        <v>45174</v>
      </c>
      <c r="E815" s="2" t="s">
        <v>834</v>
      </c>
      <c r="F815" s="2" t="s">
        <v>20</v>
      </c>
      <c r="G815" s="2">
        <v>59</v>
      </c>
      <c r="H815" s="2" t="s">
        <v>21</v>
      </c>
      <c r="I815" s="2">
        <v>1</v>
      </c>
      <c r="J815" s="2">
        <v>500</v>
      </c>
      <c r="K815" s="2">
        <v>500</v>
      </c>
      <c r="M815" s="2">
        <v>500</v>
      </c>
      <c r="N815" t="str" cm="1">
        <f t="array" ref="N815">IF(M815=Table5[[#This Row],[Total Amount]],"Correct",Check)</f>
        <v>Correct</v>
      </c>
    </row>
    <row r="816" spans="3:14" x14ac:dyDescent="0.25">
      <c r="C816" s="2">
        <v>815</v>
      </c>
      <c r="D816" s="10">
        <v>45165</v>
      </c>
      <c r="E816" s="2" t="s">
        <v>835</v>
      </c>
      <c r="F816" s="2" t="s">
        <v>20</v>
      </c>
      <c r="G816" s="2">
        <v>51</v>
      </c>
      <c r="H816" s="2" t="s">
        <v>21</v>
      </c>
      <c r="I816" s="2">
        <v>3</v>
      </c>
      <c r="J816" s="2">
        <v>25</v>
      </c>
      <c r="K816" s="2">
        <v>75</v>
      </c>
      <c r="M816" s="2">
        <v>75</v>
      </c>
      <c r="N816" t="str" cm="1">
        <f t="array" ref="N816">IF(M816=Table5[[#This Row],[Total Amount]],"Correct",Check)</f>
        <v>Correct</v>
      </c>
    </row>
    <row r="817" spans="3:14" x14ac:dyDescent="0.25">
      <c r="C817" s="2">
        <v>816</v>
      </c>
      <c r="D817" s="10">
        <v>45150</v>
      </c>
      <c r="E817" s="2" t="s">
        <v>836</v>
      </c>
      <c r="F817" s="2" t="s">
        <v>17</v>
      </c>
      <c r="G817" s="2">
        <v>47</v>
      </c>
      <c r="H817" s="2" t="s">
        <v>18</v>
      </c>
      <c r="I817" s="2">
        <v>2</v>
      </c>
      <c r="J817" s="2">
        <v>500</v>
      </c>
      <c r="K817" s="2">
        <v>1000</v>
      </c>
      <c r="M817" s="2">
        <v>1000</v>
      </c>
      <c r="N817" t="str" cm="1">
        <f t="array" ref="N817">IF(M817=Table5[[#This Row],[Total Amount]],"Correct",Check)</f>
        <v>Correct</v>
      </c>
    </row>
    <row r="818" spans="3:14" x14ac:dyDescent="0.25">
      <c r="C818" s="2">
        <v>817</v>
      </c>
      <c r="D818" s="10">
        <v>45230</v>
      </c>
      <c r="E818" s="2" t="s">
        <v>837</v>
      </c>
      <c r="F818" s="2" t="s">
        <v>17</v>
      </c>
      <c r="G818" s="2">
        <v>30</v>
      </c>
      <c r="H818" s="2" t="s">
        <v>18</v>
      </c>
      <c r="I818" s="2">
        <v>4</v>
      </c>
      <c r="J818" s="2">
        <v>50</v>
      </c>
      <c r="K818" s="2">
        <v>200</v>
      </c>
      <c r="M818" s="2">
        <v>200</v>
      </c>
      <c r="N818" t="str" cm="1">
        <f t="array" ref="N818">IF(M818=Table5[[#This Row],[Total Amount]],"Correct",Check)</f>
        <v>Correct</v>
      </c>
    </row>
    <row r="819" spans="3:14" x14ac:dyDescent="0.25">
      <c r="C819" s="2">
        <v>818</v>
      </c>
      <c r="D819" s="10">
        <v>45064</v>
      </c>
      <c r="E819" s="2" t="s">
        <v>838</v>
      </c>
      <c r="F819" s="2" t="s">
        <v>17</v>
      </c>
      <c r="G819" s="2">
        <v>30</v>
      </c>
      <c r="H819" s="2" t="s">
        <v>23</v>
      </c>
      <c r="I819" s="2">
        <v>1</v>
      </c>
      <c r="J819" s="2">
        <v>500</v>
      </c>
      <c r="K819" s="2">
        <v>500</v>
      </c>
      <c r="M819" s="2">
        <v>500</v>
      </c>
      <c r="N819" t="str" cm="1">
        <f t="array" ref="N819">IF(M819=Table5[[#This Row],[Total Amount]],"Correct",Check)</f>
        <v>Correct</v>
      </c>
    </row>
    <row r="820" spans="3:14" x14ac:dyDescent="0.25">
      <c r="C820" s="2">
        <v>819</v>
      </c>
      <c r="D820" s="10">
        <v>45092</v>
      </c>
      <c r="E820" s="2" t="s">
        <v>839</v>
      </c>
      <c r="F820" s="2" t="s">
        <v>20</v>
      </c>
      <c r="G820" s="2">
        <v>35</v>
      </c>
      <c r="H820" s="2" t="s">
        <v>18</v>
      </c>
      <c r="I820" s="2">
        <v>2</v>
      </c>
      <c r="J820" s="2">
        <v>50</v>
      </c>
      <c r="K820" s="2">
        <v>100</v>
      </c>
      <c r="M820" s="2">
        <v>100</v>
      </c>
      <c r="N820" t="str" cm="1">
        <f t="array" ref="N820">IF(M820=Table5[[#This Row],[Total Amount]],"Correct",Check)</f>
        <v>Correct</v>
      </c>
    </row>
    <row r="821" spans="3:14" x14ac:dyDescent="0.25">
      <c r="C821" s="2">
        <v>820</v>
      </c>
      <c r="D821" s="10">
        <v>45052</v>
      </c>
      <c r="E821" s="2" t="s">
        <v>840</v>
      </c>
      <c r="F821" s="2" t="s">
        <v>17</v>
      </c>
      <c r="G821" s="2">
        <v>49</v>
      </c>
      <c r="H821" s="2" t="s">
        <v>23</v>
      </c>
      <c r="I821" s="2">
        <v>4</v>
      </c>
      <c r="J821" s="2">
        <v>50</v>
      </c>
      <c r="K821" s="2">
        <v>200</v>
      </c>
      <c r="M821" s="2">
        <v>200</v>
      </c>
      <c r="N821" t="str" cm="1">
        <f t="array" ref="N821">IF(M821=Table5[[#This Row],[Total Amount]],"Correct",Check)</f>
        <v>Correct</v>
      </c>
    </row>
    <row r="822" spans="3:14" x14ac:dyDescent="0.25">
      <c r="C822" s="2">
        <v>821</v>
      </c>
      <c r="D822" s="10">
        <v>44971</v>
      </c>
      <c r="E822" s="2" t="s">
        <v>841</v>
      </c>
      <c r="F822" s="2" t="s">
        <v>17</v>
      </c>
      <c r="G822" s="2">
        <v>49</v>
      </c>
      <c r="H822" s="2" t="s">
        <v>23</v>
      </c>
      <c r="I822" s="2">
        <v>1</v>
      </c>
      <c r="J822" s="2">
        <v>300</v>
      </c>
      <c r="K822" s="2">
        <v>300</v>
      </c>
      <c r="M822" s="2">
        <v>300</v>
      </c>
      <c r="N822" t="str" cm="1">
        <f t="array" ref="N822">IF(M822=Table5[[#This Row],[Total Amount]],"Correct",Check)</f>
        <v>Correct</v>
      </c>
    </row>
    <row r="823" spans="3:14" x14ac:dyDescent="0.25">
      <c r="C823" s="2">
        <v>822</v>
      </c>
      <c r="D823" s="10">
        <v>45069</v>
      </c>
      <c r="E823" s="2" t="s">
        <v>842</v>
      </c>
      <c r="F823" s="2" t="s">
        <v>20</v>
      </c>
      <c r="G823" s="2">
        <v>52</v>
      </c>
      <c r="H823" s="2" t="s">
        <v>18</v>
      </c>
      <c r="I823" s="2">
        <v>3</v>
      </c>
      <c r="J823" s="2">
        <v>50</v>
      </c>
      <c r="K823" s="2">
        <v>150</v>
      </c>
      <c r="M823" s="2">
        <v>150</v>
      </c>
      <c r="N823" t="str" cm="1">
        <f t="array" ref="N823">IF(M823=Table5[[#This Row],[Total Amount]],"Correct",Check)</f>
        <v>Correct</v>
      </c>
    </row>
    <row r="824" spans="3:14" x14ac:dyDescent="0.25">
      <c r="C824" s="2">
        <v>823</v>
      </c>
      <c r="D824" s="10">
        <v>45157</v>
      </c>
      <c r="E824" s="2" t="s">
        <v>843</v>
      </c>
      <c r="F824" s="2" t="s">
        <v>20</v>
      </c>
      <c r="G824" s="2">
        <v>56</v>
      </c>
      <c r="H824" s="2" t="s">
        <v>23</v>
      </c>
      <c r="I824" s="2">
        <v>2</v>
      </c>
      <c r="J824" s="2">
        <v>50</v>
      </c>
      <c r="K824" s="2">
        <v>100</v>
      </c>
      <c r="M824" s="2">
        <v>100</v>
      </c>
      <c r="N824" t="str" cm="1">
        <f t="array" ref="N824">IF(M824=Table5[[#This Row],[Total Amount]],"Correct",Check)</f>
        <v>Correct</v>
      </c>
    </row>
    <row r="825" spans="3:14" x14ac:dyDescent="0.25">
      <c r="C825" s="2">
        <v>824</v>
      </c>
      <c r="D825" s="10">
        <v>45051</v>
      </c>
      <c r="E825" s="2" t="s">
        <v>844</v>
      </c>
      <c r="F825" s="2" t="s">
        <v>17</v>
      </c>
      <c r="G825" s="2">
        <v>63</v>
      </c>
      <c r="H825" s="2" t="s">
        <v>21</v>
      </c>
      <c r="I825" s="2">
        <v>4</v>
      </c>
      <c r="J825" s="2">
        <v>30</v>
      </c>
      <c r="K825" s="2">
        <v>120</v>
      </c>
      <c r="M825" s="2">
        <v>120</v>
      </c>
      <c r="N825" t="str" cm="1">
        <f t="array" ref="N825">IF(M825=Table5[[#This Row],[Total Amount]],"Correct",Check)</f>
        <v>Correct</v>
      </c>
    </row>
    <row r="826" spans="3:14" x14ac:dyDescent="0.25">
      <c r="C826" s="2">
        <v>825</v>
      </c>
      <c r="D826" s="10">
        <v>45164</v>
      </c>
      <c r="E826" s="2" t="s">
        <v>845</v>
      </c>
      <c r="F826" s="2" t="s">
        <v>20</v>
      </c>
      <c r="G826" s="2">
        <v>46</v>
      </c>
      <c r="H826" s="2" t="s">
        <v>18</v>
      </c>
      <c r="I826" s="2">
        <v>1</v>
      </c>
      <c r="J826" s="2">
        <v>25</v>
      </c>
      <c r="K826" s="2">
        <v>25</v>
      </c>
      <c r="M826" s="2">
        <v>25</v>
      </c>
      <c r="N826" t="str" cm="1">
        <f t="array" ref="N826">IF(M826=Table5[[#This Row],[Total Amount]],"Correct",Check)</f>
        <v>Correct</v>
      </c>
    </row>
    <row r="827" spans="3:14" x14ac:dyDescent="0.25">
      <c r="C827" s="2">
        <v>826</v>
      </c>
      <c r="D827" s="10">
        <v>45218</v>
      </c>
      <c r="E827" s="2" t="s">
        <v>846</v>
      </c>
      <c r="F827" s="2" t="s">
        <v>20</v>
      </c>
      <c r="G827" s="2">
        <v>46</v>
      </c>
      <c r="H827" s="2" t="s">
        <v>21</v>
      </c>
      <c r="I827" s="2">
        <v>1</v>
      </c>
      <c r="J827" s="2">
        <v>300</v>
      </c>
      <c r="K827" s="2">
        <v>300</v>
      </c>
      <c r="M827" s="2">
        <v>300</v>
      </c>
      <c r="N827" t="str" cm="1">
        <f t="array" ref="N827">IF(M827=Table5[[#This Row],[Total Amount]],"Correct",Check)</f>
        <v>Correct</v>
      </c>
    </row>
    <row r="828" spans="3:14" x14ac:dyDescent="0.25">
      <c r="C828" s="2">
        <v>827</v>
      </c>
      <c r="D828" s="10">
        <v>45239</v>
      </c>
      <c r="E828" s="2" t="s">
        <v>847</v>
      </c>
      <c r="F828" s="2" t="s">
        <v>17</v>
      </c>
      <c r="G828" s="2">
        <v>61</v>
      </c>
      <c r="H828" s="2" t="s">
        <v>18</v>
      </c>
      <c r="I828" s="2">
        <v>3</v>
      </c>
      <c r="J828" s="2">
        <v>300</v>
      </c>
      <c r="K828" s="2">
        <v>900</v>
      </c>
      <c r="M828" s="2">
        <v>900</v>
      </c>
      <c r="N828" t="str" cm="1">
        <f t="array" ref="N828">IF(M828=Table5[[#This Row],[Total Amount]],"Correct",Check)</f>
        <v>Correct</v>
      </c>
    </row>
    <row r="829" spans="3:14" x14ac:dyDescent="0.25">
      <c r="C829" s="2">
        <v>828</v>
      </c>
      <c r="D829" s="10">
        <v>45269</v>
      </c>
      <c r="E829" s="2" t="s">
        <v>848</v>
      </c>
      <c r="F829" s="2" t="s">
        <v>20</v>
      </c>
      <c r="G829" s="2">
        <v>33</v>
      </c>
      <c r="H829" s="2" t="s">
        <v>23</v>
      </c>
      <c r="I829" s="2">
        <v>4</v>
      </c>
      <c r="J829" s="2">
        <v>300</v>
      </c>
      <c r="K829" s="2">
        <v>1200</v>
      </c>
      <c r="M829" s="2">
        <v>1200</v>
      </c>
      <c r="N829" t="str" cm="1">
        <f t="array" ref="N829">IF(M829=Table5[[#This Row],[Total Amount]],"Correct",Check)</f>
        <v>Correct</v>
      </c>
    </row>
    <row r="830" spans="3:14" x14ac:dyDescent="0.25">
      <c r="C830" s="2">
        <v>829</v>
      </c>
      <c r="D830" s="10">
        <v>45121</v>
      </c>
      <c r="E830" s="2" t="s">
        <v>849</v>
      </c>
      <c r="F830" s="2" t="s">
        <v>17</v>
      </c>
      <c r="G830" s="2">
        <v>61</v>
      </c>
      <c r="H830" s="2" t="s">
        <v>18</v>
      </c>
      <c r="I830" s="2">
        <v>3</v>
      </c>
      <c r="J830" s="2">
        <v>30</v>
      </c>
      <c r="K830" s="2">
        <v>90</v>
      </c>
      <c r="M830" s="2">
        <v>90</v>
      </c>
      <c r="N830" t="str" cm="1">
        <f t="array" ref="N830">IF(M830=Table5[[#This Row],[Total Amount]],"Correct",Check)</f>
        <v>Correct</v>
      </c>
    </row>
    <row r="831" spans="3:14" x14ac:dyDescent="0.25">
      <c r="C831" s="2">
        <v>830</v>
      </c>
      <c r="D831" s="10">
        <v>45099</v>
      </c>
      <c r="E831" s="2" t="s">
        <v>850</v>
      </c>
      <c r="F831" s="2" t="s">
        <v>20</v>
      </c>
      <c r="G831" s="2">
        <v>64</v>
      </c>
      <c r="H831" s="2" t="s">
        <v>21</v>
      </c>
      <c r="I831" s="2">
        <v>3</v>
      </c>
      <c r="J831" s="2">
        <v>50</v>
      </c>
      <c r="K831" s="2">
        <v>150</v>
      </c>
      <c r="M831" s="2">
        <v>150</v>
      </c>
      <c r="N831" t="str" cm="1">
        <f t="array" ref="N831">IF(M831=Table5[[#This Row],[Total Amount]],"Correct",Check)</f>
        <v>Correct</v>
      </c>
    </row>
    <row r="832" spans="3:14" x14ac:dyDescent="0.25">
      <c r="C832" s="2">
        <v>831</v>
      </c>
      <c r="D832" s="10">
        <v>44941</v>
      </c>
      <c r="E832" s="2" t="s">
        <v>851</v>
      </c>
      <c r="F832" s="2" t="s">
        <v>17</v>
      </c>
      <c r="G832" s="2">
        <v>27</v>
      </c>
      <c r="H832" s="2" t="s">
        <v>23</v>
      </c>
      <c r="I832" s="2">
        <v>4</v>
      </c>
      <c r="J832" s="2">
        <v>25</v>
      </c>
      <c r="K832" s="2">
        <v>100</v>
      </c>
      <c r="M832" s="2">
        <v>100</v>
      </c>
      <c r="N832" t="str" cm="1">
        <f t="array" ref="N832">IF(M832=Table5[[#This Row],[Total Amount]],"Correct",Check)</f>
        <v>Correct</v>
      </c>
    </row>
    <row r="833" spans="3:14" x14ac:dyDescent="0.25">
      <c r="C833" s="2">
        <v>832</v>
      </c>
      <c r="D833" s="10">
        <v>45180</v>
      </c>
      <c r="E833" s="2" t="s">
        <v>852</v>
      </c>
      <c r="F833" s="2" t="s">
        <v>17</v>
      </c>
      <c r="G833" s="2">
        <v>47</v>
      </c>
      <c r="H833" s="2" t="s">
        <v>18</v>
      </c>
      <c r="I833" s="2">
        <v>4</v>
      </c>
      <c r="J833" s="2">
        <v>500</v>
      </c>
      <c r="K833" s="2">
        <v>2000</v>
      </c>
      <c r="M833" s="2">
        <v>2000</v>
      </c>
      <c r="N833" t="str" cm="1">
        <f t="array" ref="N833">IF(M833=Table5[[#This Row],[Total Amount]],"Correct",Check)</f>
        <v>Correct</v>
      </c>
    </row>
    <row r="834" spans="3:14" x14ac:dyDescent="0.25">
      <c r="C834" s="2">
        <v>833</v>
      </c>
      <c r="D834" s="10">
        <v>45093</v>
      </c>
      <c r="E834" s="2" t="s">
        <v>853</v>
      </c>
      <c r="F834" s="2" t="s">
        <v>17</v>
      </c>
      <c r="G834" s="2">
        <v>42</v>
      </c>
      <c r="H834" s="2" t="s">
        <v>18</v>
      </c>
      <c r="I834" s="2">
        <v>4</v>
      </c>
      <c r="J834" s="2">
        <v>50</v>
      </c>
      <c r="K834" s="2">
        <v>200</v>
      </c>
      <c r="M834" s="2">
        <v>200</v>
      </c>
      <c r="N834" t="str" cm="1">
        <f t="array" ref="N834">IF(M834=Table5[[#This Row],[Total Amount]],"Correct",Check)</f>
        <v>Correct</v>
      </c>
    </row>
    <row r="835" spans="3:14" x14ac:dyDescent="0.25">
      <c r="C835" s="2">
        <v>834</v>
      </c>
      <c r="D835" s="10">
        <v>45020</v>
      </c>
      <c r="E835" s="2" t="s">
        <v>854</v>
      </c>
      <c r="F835" s="2" t="s">
        <v>20</v>
      </c>
      <c r="G835" s="2">
        <v>56</v>
      </c>
      <c r="H835" s="2" t="s">
        <v>18</v>
      </c>
      <c r="I835" s="2">
        <v>2</v>
      </c>
      <c r="J835" s="2">
        <v>30</v>
      </c>
      <c r="K835" s="2">
        <v>60</v>
      </c>
      <c r="M835" s="2">
        <v>60</v>
      </c>
      <c r="N835" t="str" cm="1">
        <f t="array" ref="N835">IF(M835=Table5[[#This Row],[Total Amount]],"Correct",Check)</f>
        <v>Correct</v>
      </c>
    </row>
    <row r="836" spans="3:14" x14ac:dyDescent="0.25">
      <c r="C836" s="2">
        <v>835</v>
      </c>
      <c r="D836" s="10">
        <v>45176</v>
      </c>
      <c r="E836" s="2" t="s">
        <v>855</v>
      </c>
      <c r="F836" s="2" t="s">
        <v>17</v>
      </c>
      <c r="G836" s="2">
        <v>37</v>
      </c>
      <c r="H836" s="2" t="s">
        <v>21</v>
      </c>
      <c r="I836" s="2">
        <v>4</v>
      </c>
      <c r="J836" s="2">
        <v>50</v>
      </c>
      <c r="K836" s="2">
        <v>200</v>
      </c>
      <c r="M836" s="2">
        <v>200</v>
      </c>
      <c r="N836" t="str" cm="1">
        <f t="array" ref="N836">IF(M836=Table5[[#This Row],[Total Amount]],"Correct",Check)</f>
        <v>Correct</v>
      </c>
    </row>
    <row r="837" spans="3:14" x14ac:dyDescent="0.25">
      <c r="C837" s="2">
        <v>836</v>
      </c>
      <c r="D837" s="10">
        <v>45035</v>
      </c>
      <c r="E837" s="2" t="s">
        <v>856</v>
      </c>
      <c r="F837" s="2" t="s">
        <v>20</v>
      </c>
      <c r="G837" s="2">
        <v>22</v>
      </c>
      <c r="H837" s="2" t="s">
        <v>21</v>
      </c>
      <c r="I837" s="2">
        <v>1</v>
      </c>
      <c r="J837" s="2">
        <v>50</v>
      </c>
      <c r="K837" s="2">
        <v>50</v>
      </c>
      <c r="M837" s="2">
        <v>50</v>
      </c>
      <c r="N837" t="str" cm="1">
        <f t="array" ref="N837">IF(M837=Table5[[#This Row],[Total Amount]],"Correct",Check)</f>
        <v>Correct</v>
      </c>
    </row>
    <row r="838" spans="3:14" x14ac:dyDescent="0.25">
      <c r="C838" s="2">
        <v>837</v>
      </c>
      <c r="D838" s="10">
        <v>45108</v>
      </c>
      <c r="E838" s="2" t="s">
        <v>857</v>
      </c>
      <c r="F838" s="2" t="s">
        <v>17</v>
      </c>
      <c r="G838" s="2">
        <v>18</v>
      </c>
      <c r="H838" s="2" t="s">
        <v>18</v>
      </c>
      <c r="I838" s="2">
        <v>3</v>
      </c>
      <c r="J838" s="2">
        <v>30</v>
      </c>
      <c r="K838" s="2">
        <v>90</v>
      </c>
      <c r="M838" s="2">
        <v>90</v>
      </c>
      <c r="N838" t="str" cm="1">
        <f t="array" ref="N838">IF(M838=Table5[[#This Row],[Total Amount]],"Correct",Check)</f>
        <v>Correct</v>
      </c>
    </row>
    <row r="839" spans="3:14" x14ac:dyDescent="0.25">
      <c r="C839" s="2">
        <v>838</v>
      </c>
      <c r="D839" s="10">
        <v>45059</v>
      </c>
      <c r="E839" s="2" t="s">
        <v>858</v>
      </c>
      <c r="F839" s="2" t="s">
        <v>17</v>
      </c>
      <c r="G839" s="2">
        <v>47</v>
      </c>
      <c r="H839" s="2" t="s">
        <v>23</v>
      </c>
      <c r="I839" s="2">
        <v>2</v>
      </c>
      <c r="J839" s="2">
        <v>300</v>
      </c>
      <c r="K839" s="2">
        <v>600</v>
      </c>
      <c r="M839" s="2">
        <v>600</v>
      </c>
      <c r="N839" t="str" cm="1">
        <f t="array" ref="N839">IF(M839=Table5[[#This Row],[Total Amount]],"Correct",Check)</f>
        <v>Correct</v>
      </c>
    </row>
    <row r="840" spans="3:14" x14ac:dyDescent="0.25">
      <c r="C840" s="2">
        <v>839</v>
      </c>
      <c r="D840" s="10">
        <v>45101</v>
      </c>
      <c r="E840" s="2" t="s">
        <v>859</v>
      </c>
      <c r="F840" s="2" t="s">
        <v>20</v>
      </c>
      <c r="G840" s="2">
        <v>20</v>
      </c>
      <c r="H840" s="2" t="s">
        <v>23</v>
      </c>
      <c r="I840" s="2">
        <v>4</v>
      </c>
      <c r="J840" s="2">
        <v>300</v>
      </c>
      <c r="K840" s="2">
        <v>1200</v>
      </c>
      <c r="M840" s="2">
        <v>1200</v>
      </c>
      <c r="N840" t="str" cm="1">
        <f t="array" ref="N840">IF(M840=Table5[[#This Row],[Total Amount]],"Correct",Check)</f>
        <v>Correct</v>
      </c>
    </row>
    <row r="841" spans="3:14" x14ac:dyDescent="0.25">
      <c r="C841" s="2">
        <v>840</v>
      </c>
      <c r="D841" s="10">
        <v>45070</v>
      </c>
      <c r="E841" s="2" t="s">
        <v>860</v>
      </c>
      <c r="F841" s="2" t="s">
        <v>17</v>
      </c>
      <c r="G841" s="2">
        <v>62</v>
      </c>
      <c r="H841" s="2" t="s">
        <v>21</v>
      </c>
      <c r="I841" s="2">
        <v>2</v>
      </c>
      <c r="J841" s="2">
        <v>25</v>
      </c>
      <c r="K841" s="2">
        <v>50</v>
      </c>
      <c r="M841" s="2">
        <v>50</v>
      </c>
      <c r="N841" t="str" cm="1">
        <f t="array" ref="N841">IF(M841=Table5[[#This Row],[Total Amount]],"Correct",Check)</f>
        <v>Correct</v>
      </c>
    </row>
    <row r="842" spans="3:14" x14ac:dyDescent="0.25">
      <c r="C842" s="2">
        <v>841</v>
      </c>
      <c r="D842" s="10">
        <v>45232</v>
      </c>
      <c r="E842" s="2" t="s">
        <v>861</v>
      </c>
      <c r="F842" s="2" t="s">
        <v>17</v>
      </c>
      <c r="G842" s="2">
        <v>31</v>
      </c>
      <c r="H842" s="2" t="s">
        <v>23</v>
      </c>
      <c r="I842" s="2">
        <v>4</v>
      </c>
      <c r="J842" s="2">
        <v>25</v>
      </c>
      <c r="K842" s="2">
        <v>100</v>
      </c>
      <c r="M842" s="2">
        <v>100</v>
      </c>
      <c r="N842" t="str" cm="1">
        <f t="array" ref="N842">IF(M842=Table5[[#This Row],[Total Amount]],"Correct",Check)</f>
        <v>Correct</v>
      </c>
    </row>
    <row r="843" spans="3:14" x14ac:dyDescent="0.25">
      <c r="C843" s="2">
        <v>842</v>
      </c>
      <c r="D843" s="10">
        <v>45286</v>
      </c>
      <c r="E843" s="2" t="s">
        <v>862</v>
      </c>
      <c r="F843" s="2" t="s">
        <v>20</v>
      </c>
      <c r="G843" s="2">
        <v>47</v>
      </c>
      <c r="H843" s="2" t="s">
        <v>21</v>
      </c>
      <c r="I843" s="2">
        <v>2</v>
      </c>
      <c r="J843" s="2">
        <v>300</v>
      </c>
      <c r="K843" s="2">
        <v>600</v>
      </c>
      <c r="M843" s="2">
        <v>600</v>
      </c>
      <c r="N843" t="str" cm="1">
        <f t="array" ref="N843">IF(M843=Table5[[#This Row],[Total Amount]],"Correct",Check)</f>
        <v>Correct</v>
      </c>
    </row>
    <row r="844" spans="3:14" x14ac:dyDescent="0.25">
      <c r="C844" s="2">
        <v>843</v>
      </c>
      <c r="D844" s="10">
        <v>45068</v>
      </c>
      <c r="E844" s="2" t="s">
        <v>863</v>
      </c>
      <c r="F844" s="2" t="s">
        <v>17</v>
      </c>
      <c r="G844" s="2">
        <v>21</v>
      </c>
      <c r="H844" s="2" t="s">
        <v>18</v>
      </c>
      <c r="I844" s="2">
        <v>3</v>
      </c>
      <c r="J844" s="2">
        <v>500</v>
      </c>
      <c r="K844" s="2">
        <v>1500</v>
      </c>
      <c r="M844" s="2">
        <v>1500</v>
      </c>
      <c r="N844" t="str" cm="1">
        <f t="array" ref="N844">IF(M844=Table5[[#This Row],[Total Amount]],"Correct",Check)</f>
        <v>Correct</v>
      </c>
    </row>
    <row r="845" spans="3:14" x14ac:dyDescent="0.25">
      <c r="C845" s="2">
        <v>844</v>
      </c>
      <c r="D845" s="10">
        <v>45211</v>
      </c>
      <c r="E845" s="2" t="s">
        <v>864</v>
      </c>
      <c r="F845" s="2" t="s">
        <v>17</v>
      </c>
      <c r="G845" s="2">
        <v>35</v>
      </c>
      <c r="H845" s="2" t="s">
        <v>21</v>
      </c>
      <c r="I845" s="2">
        <v>3</v>
      </c>
      <c r="J845" s="2">
        <v>50</v>
      </c>
      <c r="K845" s="2">
        <v>150</v>
      </c>
      <c r="M845" s="2">
        <v>150</v>
      </c>
      <c r="N845" t="str" cm="1">
        <f t="array" ref="N845">IF(M845=Table5[[#This Row],[Total Amount]],"Correct",Check)</f>
        <v>Correct</v>
      </c>
    </row>
    <row r="846" spans="3:14" x14ac:dyDescent="0.25">
      <c r="C846" s="2">
        <v>845</v>
      </c>
      <c r="D846" s="10">
        <v>44932</v>
      </c>
      <c r="E846" s="2" t="s">
        <v>865</v>
      </c>
      <c r="F846" s="2" t="s">
        <v>17</v>
      </c>
      <c r="G846" s="2">
        <v>54</v>
      </c>
      <c r="H846" s="2" t="s">
        <v>21</v>
      </c>
      <c r="I846" s="2">
        <v>1</v>
      </c>
      <c r="J846" s="2">
        <v>500</v>
      </c>
      <c r="K846" s="2">
        <v>500</v>
      </c>
      <c r="M846" s="2">
        <v>500</v>
      </c>
      <c r="N846" t="str" cm="1">
        <f t="array" ref="N846">IF(M846=Table5[[#This Row],[Total Amount]],"Correct",Check)</f>
        <v>Correct</v>
      </c>
    </row>
    <row r="847" spans="3:14" x14ac:dyDescent="0.25">
      <c r="C847" s="2">
        <v>846</v>
      </c>
      <c r="D847" s="10">
        <v>45191</v>
      </c>
      <c r="E847" s="2" t="s">
        <v>866</v>
      </c>
      <c r="F847" s="2" t="s">
        <v>17</v>
      </c>
      <c r="G847" s="2">
        <v>42</v>
      </c>
      <c r="H847" s="2" t="s">
        <v>18</v>
      </c>
      <c r="I847" s="2">
        <v>1</v>
      </c>
      <c r="J847" s="2">
        <v>50</v>
      </c>
      <c r="K847" s="2">
        <v>50</v>
      </c>
      <c r="M847" s="2">
        <v>50</v>
      </c>
      <c r="N847" t="str" cm="1">
        <f t="array" ref="N847">IF(M847=Table5[[#This Row],[Total Amount]],"Correct",Check)</f>
        <v>Correct</v>
      </c>
    </row>
    <row r="848" spans="3:14" x14ac:dyDescent="0.25">
      <c r="C848" s="2">
        <v>847</v>
      </c>
      <c r="D848" s="10">
        <v>45024</v>
      </c>
      <c r="E848" s="2" t="s">
        <v>867</v>
      </c>
      <c r="F848" s="2" t="s">
        <v>20</v>
      </c>
      <c r="G848" s="2">
        <v>18</v>
      </c>
      <c r="H848" s="2" t="s">
        <v>23</v>
      </c>
      <c r="I848" s="2">
        <v>4</v>
      </c>
      <c r="J848" s="2">
        <v>300</v>
      </c>
      <c r="K848" s="2">
        <v>1200</v>
      </c>
      <c r="M848" s="2">
        <v>1200</v>
      </c>
      <c r="N848" t="str" cm="1">
        <f t="array" ref="N848">IF(M848=Table5[[#This Row],[Total Amount]],"Correct",Check)</f>
        <v>Correct</v>
      </c>
    </row>
    <row r="849" spans="3:14" x14ac:dyDescent="0.25">
      <c r="C849" s="2">
        <v>848</v>
      </c>
      <c r="D849" s="10">
        <v>44970</v>
      </c>
      <c r="E849" s="2" t="s">
        <v>868</v>
      </c>
      <c r="F849" s="2" t="s">
        <v>20</v>
      </c>
      <c r="G849" s="2">
        <v>63</v>
      </c>
      <c r="H849" s="2" t="s">
        <v>21</v>
      </c>
      <c r="I849" s="2">
        <v>3</v>
      </c>
      <c r="J849" s="2">
        <v>25</v>
      </c>
      <c r="K849" s="2">
        <v>75</v>
      </c>
      <c r="M849" s="2">
        <v>75</v>
      </c>
      <c r="N849" t="str" cm="1">
        <f t="array" ref="N849">IF(M849=Table5[[#This Row],[Total Amount]],"Correct",Check)</f>
        <v>Correct</v>
      </c>
    </row>
    <row r="850" spans="3:14" x14ac:dyDescent="0.25">
      <c r="C850" s="2">
        <v>849</v>
      </c>
      <c r="D850" s="10">
        <v>45050</v>
      </c>
      <c r="E850" s="2" t="s">
        <v>869</v>
      </c>
      <c r="F850" s="2" t="s">
        <v>17</v>
      </c>
      <c r="G850" s="2">
        <v>32</v>
      </c>
      <c r="H850" s="2" t="s">
        <v>21</v>
      </c>
      <c r="I850" s="2">
        <v>2</v>
      </c>
      <c r="J850" s="2">
        <v>25</v>
      </c>
      <c r="K850" s="2">
        <v>50</v>
      </c>
      <c r="M850" s="2">
        <v>50</v>
      </c>
      <c r="N850" t="str" cm="1">
        <f t="array" ref="N850">IF(M850=Table5[[#This Row],[Total Amount]],"Correct",Check)</f>
        <v>Correct</v>
      </c>
    </row>
    <row r="851" spans="3:14" x14ac:dyDescent="0.25">
      <c r="C851" s="2">
        <v>850</v>
      </c>
      <c r="D851" s="10">
        <v>45135</v>
      </c>
      <c r="E851" s="2" t="s">
        <v>870</v>
      </c>
      <c r="F851" s="2" t="s">
        <v>20</v>
      </c>
      <c r="G851" s="2">
        <v>26</v>
      </c>
      <c r="H851" s="2" t="s">
        <v>18</v>
      </c>
      <c r="I851" s="2">
        <v>2</v>
      </c>
      <c r="J851" s="2">
        <v>500</v>
      </c>
      <c r="K851" s="2">
        <v>1000</v>
      </c>
      <c r="M851" s="2">
        <v>1000</v>
      </c>
      <c r="N851" t="str" cm="1">
        <f t="array" ref="N851">IF(M851=Table5[[#This Row],[Total Amount]],"Correct",Check)</f>
        <v>Correct</v>
      </c>
    </row>
    <row r="852" spans="3:14" x14ac:dyDescent="0.25">
      <c r="C852" s="2">
        <v>851</v>
      </c>
      <c r="D852" s="10">
        <v>45177</v>
      </c>
      <c r="E852" s="2" t="s">
        <v>871</v>
      </c>
      <c r="F852" s="2" t="s">
        <v>17</v>
      </c>
      <c r="G852" s="2">
        <v>32</v>
      </c>
      <c r="H852" s="2" t="s">
        <v>23</v>
      </c>
      <c r="I852" s="2">
        <v>2</v>
      </c>
      <c r="J852" s="2">
        <v>25</v>
      </c>
      <c r="K852" s="2">
        <v>50</v>
      </c>
      <c r="M852" s="2">
        <v>50</v>
      </c>
      <c r="N852" t="str" cm="1">
        <f t="array" ref="N852">IF(M852=Table5[[#This Row],[Total Amount]],"Correct",Check)</f>
        <v>Correct</v>
      </c>
    </row>
    <row r="853" spans="3:14" x14ac:dyDescent="0.25">
      <c r="C853" s="2">
        <v>852</v>
      </c>
      <c r="D853" s="10">
        <v>45211</v>
      </c>
      <c r="E853" s="2" t="s">
        <v>872</v>
      </c>
      <c r="F853" s="2" t="s">
        <v>20</v>
      </c>
      <c r="G853" s="2">
        <v>41</v>
      </c>
      <c r="H853" s="2" t="s">
        <v>21</v>
      </c>
      <c r="I853" s="2">
        <v>1</v>
      </c>
      <c r="J853" s="2">
        <v>300</v>
      </c>
      <c r="K853" s="2">
        <v>300</v>
      </c>
      <c r="M853" s="2">
        <v>300</v>
      </c>
      <c r="N853" t="str" cm="1">
        <f t="array" ref="N853">IF(M853=Table5[[#This Row],[Total Amount]],"Correct",Check)</f>
        <v>Correct</v>
      </c>
    </row>
    <row r="854" spans="3:14" x14ac:dyDescent="0.25">
      <c r="C854" s="2">
        <v>853</v>
      </c>
      <c r="D854" s="10">
        <v>45050</v>
      </c>
      <c r="E854" s="2" t="s">
        <v>873</v>
      </c>
      <c r="F854" s="2" t="s">
        <v>17</v>
      </c>
      <c r="G854" s="2">
        <v>21</v>
      </c>
      <c r="H854" s="2" t="s">
        <v>18</v>
      </c>
      <c r="I854" s="2">
        <v>2</v>
      </c>
      <c r="J854" s="2">
        <v>500</v>
      </c>
      <c r="K854" s="2">
        <v>1000</v>
      </c>
      <c r="M854" s="2">
        <v>1000</v>
      </c>
      <c r="N854" t="str" cm="1">
        <f t="array" ref="N854">IF(M854=Table5[[#This Row],[Total Amount]],"Correct",Check)</f>
        <v>Correct</v>
      </c>
    </row>
    <row r="855" spans="3:14" x14ac:dyDescent="0.25">
      <c r="C855" s="2">
        <v>854</v>
      </c>
      <c r="D855" s="10">
        <v>45280</v>
      </c>
      <c r="E855" s="2" t="s">
        <v>874</v>
      </c>
      <c r="F855" s="2" t="s">
        <v>17</v>
      </c>
      <c r="G855" s="2">
        <v>29</v>
      </c>
      <c r="H855" s="2" t="s">
        <v>21</v>
      </c>
      <c r="I855" s="2">
        <v>1</v>
      </c>
      <c r="J855" s="2">
        <v>50</v>
      </c>
      <c r="K855" s="2">
        <v>50</v>
      </c>
      <c r="M855" s="2">
        <v>50</v>
      </c>
      <c r="N855" t="str" cm="1">
        <f t="array" ref="N855">IF(M855=Table5[[#This Row],[Total Amount]],"Correct",Check)</f>
        <v>Correct</v>
      </c>
    </row>
    <row r="856" spans="3:14" x14ac:dyDescent="0.25">
      <c r="C856" s="2">
        <v>855</v>
      </c>
      <c r="D856" s="10">
        <v>45170</v>
      </c>
      <c r="E856" s="2" t="s">
        <v>875</v>
      </c>
      <c r="F856" s="2" t="s">
        <v>17</v>
      </c>
      <c r="G856" s="2">
        <v>54</v>
      </c>
      <c r="H856" s="2" t="s">
        <v>18</v>
      </c>
      <c r="I856" s="2">
        <v>1</v>
      </c>
      <c r="J856" s="2">
        <v>25</v>
      </c>
      <c r="K856" s="2">
        <v>25</v>
      </c>
      <c r="M856" s="2">
        <v>25</v>
      </c>
      <c r="N856" t="str" cm="1">
        <f t="array" ref="N856">IF(M856=Table5[[#This Row],[Total Amount]],"Correct",Check)</f>
        <v>Correct</v>
      </c>
    </row>
    <row r="857" spans="3:14" x14ac:dyDescent="0.25">
      <c r="C857" s="2">
        <v>856</v>
      </c>
      <c r="D857" s="10">
        <v>45257</v>
      </c>
      <c r="E857" s="2" t="s">
        <v>876</v>
      </c>
      <c r="F857" s="2" t="s">
        <v>17</v>
      </c>
      <c r="G857" s="2">
        <v>54</v>
      </c>
      <c r="H857" s="2" t="s">
        <v>23</v>
      </c>
      <c r="I857" s="2">
        <v>4</v>
      </c>
      <c r="J857" s="2">
        <v>30</v>
      </c>
      <c r="K857" s="2">
        <v>120</v>
      </c>
      <c r="M857" s="2">
        <v>120</v>
      </c>
      <c r="N857" t="str" cm="1">
        <f t="array" ref="N857">IF(M857=Table5[[#This Row],[Total Amount]],"Correct",Check)</f>
        <v>Correct</v>
      </c>
    </row>
    <row r="858" spans="3:14" x14ac:dyDescent="0.25">
      <c r="C858" s="2">
        <v>857</v>
      </c>
      <c r="D858" s="10">
        <v>45291</v>
      </c>
      <c r="E858" s="2" t="s">
        <v>877</v>
      </c>
      <c r="F858" s="2" t="s">
        <v>17</v>
      </c>
      <c r="G858" s="2">
        <v>60</v>
      </c>
      <c r="H858" s="2" t="s">
        <v>23</v>
      </c>
      <c r="I858" s="2">
        <v>2</v>
      </c>
      <c r="J858" s="2">
        <v>25</v>
      </c>
      <c r="K858" s="2">
        <v>50</v>
      </c>
      <c r="M858" s="2">
        <v>50</v>
      </c>
      <c r="N858" t="str" cm="1">
        <f t="array" ref="N858">IF(M858=Table5[[#This Row],[Total Amount]],"Correct",Check)</f>
        <v>Correct</v>
      </c>
    </row>
    <row r="859" spans="3:14" x14ac:dyDescent="0.25">
      <c r="C859" s="2">
        <v>858</v>
      </c>
      <c r="D859" s="10">
        <v>45178</v>
      </c>
      <c r="E859" s="2" t="s">
        <v>878</v>
      </c>
      <c r="F859" s="2" t="s">
        <v>17</v>
      </c>
      <c r="G859" s="2">
        <v>23</v>
      </c>
      <c r="H859" s="2" t="s">
        <v>23</v>
      </c>
      <c r="I859" s="2">
        <v>2</v>
      </c>
      <c r="J859" s="2">
        <v>50</v>
      </c>
      <c r="K859" s="2">
        <v>100</v>
      </c>
      <c r="M859" s="2">
        <v>100</v>
      </c>
      <c r="N859" t="str" cm="1">
        <f t="array" ref="N859">IF(M859=Table5[[#This Row],[Total Amount]],"Correct",Check)</f>
        <v>Correct</v>
      </c>
    </row>
    <row r="860" spans="3:14" x14ac:dyDescent="0.25">
      <c r="C860" s="2">
        <v>859</v>
      </c>
      <c r="D860" s="10">
        <v>45156</v>
      </c>
      <c r="E860" s="2" t="s">
        <v>879</v>
      </c>
      <c r="F860" s="2" t="s">
        <v>20</v>
      </c>
      <c r="G860" s="2">
        <v>56</v>
      </c>
      <c r="H860" s="2" t="s">
        <v>23</v>
      </c>
      <c r="I860" s="2">
        <v>3</v>
      </c>
      <c r="J860" s="2">
        <v>500</v>
      </c>
      <c r="K860" s="2">
        <v>1500</v>
      </c>
      <c r="M860" s="2">
        <v>1500</v>
      </c>
      <c r="N860" t="str" cm="1">
        <f t="array" ref="N860">IF(M860=Table5[[#This Row],[Total Amount]],"Correct",Check)</f>
        <v>Correct</v>
      </c>
    </row>
    <row r="861" spans="3:14" x14ac:dyDescent="0.25">
      <c r="C861" s="2">
        <v>860</v>
      </c>
      <c r="D861" s="10">
        <v>44935</v>
      </c>
      <c r="E861" s="2" t="s">
        <v>880</v>
      </c>
      <c r="F861" s="2" t="s">
        <v>17</v>
      </c>
      <c r="G861" s="2">
        <v>63</v>
      </c>
      <c r="H861" s="2" t="s">
        <v>21</v>
      </c>
      <c r="I861" s="2">
        <v>4</v>
      </c>
      <c r="J861" s="2">
        <v>50</v>
      </c>
      <c r="K861" s="2">
        <v>200</v>
      </c>
      <c r="M861" s="2">
        <v>200</v>
      </c>
      <c r="N861" t="str" cm="1">
        <f t="array" ref="N861">IF(M861=Table5[[#This Row],[Total Amount]],"Correct",Check)</f>
        <v>Correct</v>
      </c>
    </row>
    <row r="862" spans="3:14" x14ac:dyDescent="0.25">
      <c r="C862" s="2">
        <v>861</v>
      </c>
      <c r="D862" s="10">
        <v>44974</v>
      </c>
      <c r="E862" s="2" t="s">
        <v>881</v>
      </c>
      <c r="F862" s="2" t="s">
        <v>20</v>
      </c>
      <c r="G862" s="2">
        <v>41</v>
      </c>
      <c r="H862" s="2" t="s">
        <v>21</v>
      </c>
      <c r="I862" s="2">
        <v>3</v>
      </c>
      <c r="J862" s="2">
        <v>30</v>
      </c>
      <c r="K862" s="2">
        <v>90</v>
      </c>
      <c r="M862" s="2">
        <v>90</v>
      </c>
      <c r="N862" t="str" cm="1">
        <f t="array" ref="N862">IF(M862=Table5[[#This Row],[Total Amount]],"Correct",Check)</f>
        <v>Correct</v>
      </c>
    </row>
    <row r="863" spans="3:14" x14ac:dyDescent="0.25">
      <c r="C863" s="2">
        <v>862</v>
      </c>
      <c r="D863" s="10">
        <v>45077</v>
      </c>
      <c r="E863" s="2" t="s">
        <v>882</v>
      </c>
      <c r="F863" s="2" t="s">
        <v>17</v>
      </c>
      <c r="G863" s="2">
        <v>28</v>
      </c>
      <c r="H863" s="2" t="s">
        <v>23</v>
      </c>
      <c r="I863" s="2">
        <v>4</v>
      </c>
      <c r="J863" s="2">
        <v>300</v>
      </c>
      <c r="K863" s="2">
        <v>1200</v>
      </c>
      <c r="M863" s="2">
        <v>1200</v>
      </c>
      <c r="N863" t="str" cm="1">
        <f t="array" ref="N863">IF(M863=Table5[[#This Row],[Total Amount]],"Correct",Check)</f>
        <v>Correct</v>
      </c>
    </row>
    <row r="864" spans="3:14" x14ac:dyDescent="0.25">
      <c r="C864" s="2">
        <v>863</v>
      </c>
      <c r="D864" s="10">
        <v>45040</v>
      </c>
      <c r="E864" s="2" t="s">
        <v>883</v>
      </c>
      <c r="F864" s="2" t="s">
        <v>20</v>
      </c>
      <c r="G864" s="2">
        <v>30</v>
      </c>
      <c r="H864" s="2" t="s">
        <v>23</v>
      </c>
      <c r="I864" s="2">
        <v>2</v>
      </c>
      <c r="J864" s="2">
        <v>25</v>
      </c>
      <c r="K864" s="2">
        <v>50</v>
      </c>
      <c r="M864" s="2">
        <v>50</v>
      </c>
      <c r="N864" t="str" cm="1">
        <f t="array" ref="N864">IF(M864=Table5[[#This Row],[Total Amount]],"Correct",Check)</f>
        <v>Correct</v>
      </c>
    </row>
    <row r="865" spans="3:14" x14ac:dyDescent="0.25">
      <c r="C865" s="2">
        <v>864</v>
      </c>
      <c r="D865" s="10">
        <v>45134</v>
      </c>
      <c r="E865" s="2" t="s">
        <v>884</v>
      </c>
      <c r="F865" s="2" t="s">
        <v>20</v>
      </c>
      <c r="G865" s="2">
        <v>51</v>
      </c>
      <c r="H865" s="2" t="s">
        <v>23</v>
      </c>
      <c r="I865" s="2">
        <v>1</v>
      </c>
      <c r="J865" s="2">
        <v>500</v>
      </c>
      <c r="K865" s="2">
        <v>500</v>
      </c>
      <c r="M865" s="2">
        <v>500</v>
      </c>
      <c r="N865" t="str" cm="1">
        <f t="array" ref="N865">IF(M865=Table5[[#This Row],[Total Amount]],"Correct",Check)</f>
        <v>Correct</v>
      </c>
    </row>
    <row r="866" spans="3:14" x14ac:dyDescent="0.25">
      <c r="C866" s="2">
        <v>865</v>
      </c>
      <c r="D866" s="10">
        <v>45281</v>
      </c>
      <c r="E866" s="2" t="s">
        <v>885</v>
      </c>
      <c r="F866" s="2" t="s">
        <v>20</v>
      </c>
      <c r="G866" s="2">
        <v>42</v>
      </c>
      <c r="H866" s="2" t="s">
        <v>21</v>
      </c>
      <c r="I866" s="2">
        <v>1</v>
      </c>
      <c r="J866" s="2">
        <v>300</v>
      </c>
      <c r="K866" s="2">
        <v>300</v>
      </c>
      <c r="M866" s="2">
        <v>300</v>
      </c>
      <c r="N866" t="str" cm="1">
        <f t="array" ref="N866">IF(M866=Table5[[#This Row],[Total Amount]],"Correct",Check)</f>
        <v>Correct</v>
      </c>
    </row>
    <row r="867" spans="3:14" x14ac:dyDescent="0.25">
      <c r="C867" s="2">
        <v>866</v>
      </c>
      <c r="D867" s="10">
        <v>45051</v>
      </c>
      <c r="E867" s="2" t="s">
        <v>886</v>
      </c>
      <c r="F867" s="2" t="s">
        <v>17</v>
      </c>
      <c r="G867" s="2">
        <v>24</v>
      </c>
      <c r="H867" s="2" t="s">
        <v>23</v>
      </c>
      <c r="I867" s="2">
        <v>1</v>
      </c>
      <c r="J867" s="2">
        <v>50</v>
      </c>
      <c r="K867" s="2">
        <v>50</v>
      </c>
      <c r="M867" s="2">
        <v>50</v>
      </c>
      <c r="N867" t="str" cm="1">
        <f t="array" ref="N867">IF(M867=Table5[[#This Row],[Total Amount]],"Correct",Check)</f>
        <v>Correct</v>
      </c>
    </row>
    <row r="868" spans="3:14" x14ac:dyDescent="0.25">
      <c r="C868" s="2">
        <v>867</v>
      </c>
      <c r="D868" s="10">
        <v>45083</v>
      </c>
      <c r="E868" s="2" t="s">
        <v>887</v>
      </c>
      <c r="F868" s="2" t="s">
        <v>17</v>
      </c>
      <c r="G868" s="2">
        <v>21</v>
      </c>
      <c r="H868" s="2" t="s">
        <v>23</v>
      </c>
      <c r="I868" s="2">
        <v>1</v>
      </c>
      <c r="J868" s="2">
        <v>500</v>
      </c>
      <c r="K868" s="2">
        <v>500</v>
      </c>
      <c r="M868" s="2">
        <v>500</v>
      </c>
      <c r="N868" t="str" cm="1">
        <f t="array" ref="N868">IF(M868=Table5[[#This Row],[Total Amount]],"Correct",Check)</f>
        <v>Correct</v>
      </c>
    </row>
    <row r="869" spans="3:14" x14ac:dyDescent="0.25">
      <c r="C869" s="2">
        <v>868</v>
      </c>
      <c r="D869" s="10">
        <v>45266</v>
      </c>
      <c r="E869" s="2" t="s">
        <v>888</v>
      </c>
      <c r="F869" s="2" t="s">
        <v>20</v>
      </c>
      <c r="G869" s="2">
        <v>25</v>
      </c>
      <c r="H869" s="2" t="s">
        <v>23</v>
      </c>
      <c r="I869" s="2">
        <v>1</v>
      </c>
      <c r="J869" s="2">
        <v>300</v>
      </c>
      <c r="K869" s="2">
        <v>300</v>
      </c>
      <c r="M869" s="2">
        <v>300</v>
      </c>
      <c r="N869" t="str" cm="1">
        <f t="array" ref="N869">IF(M869=Table5[[#This Row],[Total Amount]],"Correct",Check)</f>
        <v>Correct</v>
      </c>
    </row>
    <row r="870" spans="3:14" x14ac:dyDescent="0.25">
      <c r="C870" s="2">
        <v>869</v>
      </c>
      <c r="D870" s="10">
        <v>45224</v>
      </c>
      <c r="E870" s="2" t="s">
        <v>889</v>
      </c>
      <c r="F870" s="2" t="s">
        <v>17</v>
      </c>
      <c r="G870" s="2">
        <v>37</v>
      </c>
      <c r="H870" s="2" t="s">
        <v>18</v>
      </c>
      <c r="I870" s="2">
        <v>3</v>
      </c>
      <c r="J870" s="2">
        <v>500</v>
      </c>
      <c r="K870" s="2">
        <v>1500</v>
      </c>
      <c r="M870" s="2">
        <v>1500</v>
      </c>
      <c r="N870" t="str" cm="1">
        <f t="array" ref="N870">IF(M870=Table5[[#This Row],[Total Amount]],"Correct",Check)</f>
        <v>Correct</v>
      </c>
    </row>
    <row r="871" spans="3:14" x14ac:dyDescent="0.25">
      <c r="C871" s="2">
        <v>870</v>
      </c>
      <c r="D871" s="10">
        <v>45115</v>
      </c>
      <c r="E871" s="2" t="s">
        <v>890</v>
      </c>
      <c r="F871" s="2" t="s">
        <v>20</v>
      </c>
      <c r="G871" s="2">
        <v>46</v>
      </c>
      <c r="H871" s="2" t="s">
        <v>23</v>
      </c>
      <c r="I871" s="2">
        <v>4</v>
      </c>
      <c r="J871" s="2">
        <v>30</v>
      </c>
      <c r="K871" s="2">
        <v>120</v>
      </c>
      <c r="M871" s="2">
        <v>120</v>
      </c>
      <c r="N871" t="str" cm="1">
        <f t="array" ref="N871">IF(M871=Table5[[#This Row],[Total Amount]],"Correct",Check)</f>
        <v>Correct</v>
      </c>
    </row>
    <row r="872" spans="3:14" x14ac:dyDescent="0.25">
      <c r="C872" s="2">
        <v>871</v>
      </c>
      <c r="D872" s="10">
        <v>45169</v>
      </c>
      <c r="E872" s="2" t="s">
        <v>891</v>
      </c>
      <c r="F872" s="2" t="s">
        <v>17</v>
      </c>
      <c r="G872" s="2">
        <v>62</v>
      </c>
      <c r="H872" s="2" t="s">
        <v>18</v>
      </c>
      <c r="I872" s="2">
        <v>2</v>
      </c>
      <c r="J872" s="2">
        <v>30</v>
      </c>
      <c r="K872" s="2">
        <v>60</v>
      </c>
      <c r="M872" s="2">
        <v>60</v>
      </c>
      <c r="N872" t="str" cm="1">
        <f t="array" ref="N872">IF(M872=Table5[[#This Row],[Total Amount]],"Correct",Check)</f>
        <v>Correct</v>
      </c>
    </row>
    <row r="873" spans="3:14" x14ac:dyDescent="0.25">
      <c r="C873" s="2">
        <v>872</v>
      </c>
      <c r="D873" s="10">
        <v>45210</v>
      </c>
      <c r="E873" s="2" t="s">
        <v>892</v>
      </c>
      <c r="F873" s="2" t="s">
        <v>20</v>
      </c>
      <c r="G873" s="2">
        <v>63</v>
      </c>
      <c r="H873" s="2" t="s">
        <v>18</v>
      </c>
      <c r="I873" s="2">
        <v>3</v>
      </c>
      <c r="J873" s="2">
        <v>25</v>
      </c>
      <c r="K873" s="2">
        <v>75</v>
      </c>
      <c r="M873" s="2">
        <v>75</v>
      </c>
      <c r="N873" t="str" cm="1">
        <f t="array" ref="N873">IF(M873=Table5[[#This Row],[Total Amount]],"Correct",Check)</f>
        <v>Correct</v>
      </c>
    </row>
    <row r="874" spans="3:14" x14ac:dyDescent="0.25">
      <c r="C874" s="2">
        <v>873</v>
      </c>
      <c r="D874" s="10">
        <v>45198</v>
      </c>
      <c r="E874" s="2" t="s">
        <v>893</v>
      </c>
      <c r="F874" s="2" t="s">
        <v>20</v>
      </c>
      <c r="G874" s="2">
        <v>27</v>
      </c>
      <c r="H874" s="2" t="s">
        <v>23</v>
      </c>
      <c r="I874" s="2">
        <v>4</v>
      </c>
      <c r="J874" s="2">
        <v>25</v>
      </c>
      <c r="K874" s="2">
        <v>100</v>
      </c>
      <c r="M874" s="2">
        <v>100</v>
      </c>
      <c r="N874" t="str" cm="1">
        <f t="array" ref="N874">IF(M874=Table5[[#This Row],[Total Amount]],"Correct",Check)</f>
        <v>Correct</v>
      </c>
    </row>
    <row r="875" spans="3:14" x14ac:dyDescent="0.25">
      <c r="C875" s="2">
        <v>874</v>
      </c>
      <c r="D875" s="10">
        <v>45103</v>
      </c>
      <c r="E875" s="2" t="s">
        <v>894</v>
      </c>
      <c r="F875" s="2" t="s">
        <v>17</v>
      </c>
      <c r="G875" s="2">
        <v>60</v>
      </c>
      <c r="H875" s="2" t="s">
        <v>18</v>
      </c>
      <c r="I875" s="2">
        <v>1</v>
      </c>
      <c r="J875" s="2">
        <v>30</v>
      </c>
      <c r="K875" s="2">
        <v>30</v>
      </c>
      <c r="M875" s="2">
        <v>30</v>
      </c>
      <c r="N875" t="str" cm="1">
        <f t="array" ref="N875">IF(M875=Table5[[#This Row],[Total Amount]],"Correct",Check)</f>
        <v>Correct</v>
      </c>
    </row>
    <row r="876" spans="3:14" x14ac:dyDescent="0.25">
      <c r="C876" s="2">
        <v>875</v>
      </c>
      <c r="D876" s="10">
        <v>45144</v>
      </c>
      <c r="E876" s="2" t="s">
        <v>895</v>
      </c>
      <c r="F876" s="2" t="s">
        <v>20</v>
      </c>
      <c r="G876" s="2">
        <v>51</v>
      </c>
      <c r="H876" s="2" t="s">
        <v>23</v>
      </c>
      <c r="I876" s="2">
        <v>4</v>
      </c>
      <c r="J876" s="2">
        <v>500</v>
      </c>
      <c r="K876" s="2">
        <v>2000</v>
      </c>
      <c r="M876" s="2">
        <v>2000</v>
      </c>
      <c r="N876" t="str" cm="1">
        <f t="array" ref="N876">IF(M876=Table5[[#This Row],[Total Amount]],"Correct",Check)</f>
        <v>Correct</v>
      </c>
    </row>
    <row r="877" spans="3:14" x14ac:dyDescent="0.25">
      <c r="C877" s="2">
        <v>876</v>
      </c>
      <c r="D877" s="10">
        <v>45208</v>
      </c>
      <c r="E877" s="2" t="s">
        <v>896</v>
      </c>
      <c r="F877" s="2" t="s">
        <v>17</v>
      </c>
      <c r="G877" s="2">
        <v>43</v>
      </c>
      <c r="H877" s="2" t="s">
        <v>21</v>
      </c>
      <c r="I877" s="2">
        <v>4</v>
      </c>
      <c r="J877" s="2">
        <v>30</v>
      </c>
      <c r="K877" s="2">
        <v>120</v>
      </c>
      <c r="M877" s="2">
        <v>120</v>
      </c>
      <c r="N877" t="str" cm="1">
        <f t="array" ref="N877">IF(M877=Table5[[#This Row],[Total Amount]],"Correct",Check)</f>
        <v>Correct</v>
      </c>
    </row>
    <row r="878" spans="3:14" x14ac:dyDescent="0.25">
      <c r="C878" s="2">
        <v>877</v>
      </c>
      <c r="D878" s="10">
        <v>45096</v>
      </c>
      <c r="E878" s="2" t="s">
        <v>897</v>
      </c>
      <c r="F878" s="2" t="s">
        <v>20</v>
      </c>
      <c r="G878" s="2">
        <v>58</v>
      </c>
      <c r="H878" s="2" t="s">
        <v>21</v>
      </c>
      <c r="I878" s="2">
        <v>1</v>
      </c>
      <c r="J878" s="2">
        <v>25</v>
      </c>
      <c r="K878" s="2">
        <v>25</v>
      </c>
      <c r="M878" s="2">
        <v>25</v>
      </c>
      <c r="N878" t="str" cm="1">
        <f t="array" ref="N878">IF(M878=Table5[[#This Row],[Total Amount]],"Correct",Check)</f>
        <v>Correct</v>
      </c>
    </row>
    <row r="879" spans="3:14" x14ac:dyDescent="0.25">
      <c r="C879" s="2">
        <v>878</v>
      </c>
      <c r="D879" s="10">
        <v>45107</v>
      </c>
      <c r="E879" s="2" t="s">
        <v>898</v>
      </c>
      <c r="F879" s="2" t="s">
        <v>20</v>
      </c>
      <c r="G879" s="2">
        <v>20</v>
      </c>
      <c r="H879" s="2" t="s">
        <v>21</v>
      </c>
      <c r="I879" s="2">
        <v>1</v>
      </c>
      <c r="J879" s="2">
        <v>30</v>
      </c>
      <c r="K879" s="2">
        <v>30</v>
      </c>
      <c r="M879" s="2">
        <v>30</v>
      </c>
      <c r="N879" t="str" cm="1">
        <f t="array" ref="N879">IF(M879=Table5[[#This Row],[Total Amount]],"Correct",Check)</f>
        <v>Correct</v>
      </c>
    </row>
    <row r="880" spans="3:14" x14ac:dyDescent="0.25">
      <c r="C880" s="2">
        <v>879</v>
      </c>
      <c r="D880" s="10">
        <v>45286</v>
      </c>
      <c r="E880" s="2" t="s">
        <v>899</v>
      </c>
      <c r="F880" s="2" t="s">
        <v>17</v>
      </c>
      <c r="G880" s="2">
        <v>23</v>
      </c>
      <c r="H880" s="2" t="s">
        <v>21</v>
      </c>
      <c r="I880" s="2">
        <v>1</v>
      </c>
      <c r="J880" s="2">
        <v>30</v>
      </c>
      <c r="K880" s="2">
        <v>30</v>
      </c>
      <c r="M880" s="2">
        <v>30</v>
      </c>
      <c r="N880" t="str" cm="1">
        <f t="array" ref="N880">IF(M880=Table5[[#This Row],[Total Amount]],"Correct",Check)</f>
        <v>Correct</v>
      </c>
    </row>
    <row r="881" spans="3:14" x14ac:dyDescent="0.25">
      <c r="C881" s="2">
        <v>880</v>
      </c>
      <c r="D881" s="10">
        <v>45159</v>
      </c>
      <c r="E881" s="2" t="s">
        <v>900</v>
      </c>
      <c r="F881" s="2" t="s">
        <v>17</v>
      </c>
      <c r="G881" s="2">
        <v>22</v>
      </c>
      <c r="H881" s="2" t="s">
        <v>18</v>
      </c>
      <c r="I881" s="2">
        <v>2</v>
      </c>
      <c r="J881" s="2">
        <v>500</v>
      </c>
      <c r="K881" s="2">
        <v>1000</v>
      </c>
      <c r="M881" s="2">
        <v>1000</v>
      </c>
      <c r="N881" t="str" cm="1">
        <f t="array" ref="N881">IF(M881=Table5[[#This Row],[Total Amount]],"Correct",Check)</f>
        <v>Correct</v>
      </c>
    </row>
    <row r="882" spans="3:14" x14ac:dyDescent="0.25">
      <c r="C882" s="2">
        <v>881</v>
      </c>
      <c r="D882" s="10">
        <v>45065</v>
      </c>
      <c r="E882" s="2" t="s">
        <v>901</v>
      </c>
      <c r="F882" s="2" t="s">
        <v>17</v>
      </c>
      <c r="G882" s="2">
        <v>22</v>
      </c>
      <c r="H882" s="2" t="s">
        <v>23</v>
      </c>
      <c r="I882" s="2">
        <v>1</v>
      </c>
      <c r="J882" s="2">
        <v>300</v>
      </c>
      <c r="K882" s="2">
        <v>300</v>
      </c>
      <c r="M882" s="2">
        <v>300</v>
      </c>
      <c r="N882" t="str" cm="1">
        <f t="array" ref="N882">IF(M882=Table5[[#This Row],[Total Amount]],"Correct",Check)</f>
        <v>Correct</v>
      </c>
    </row>
    <row r="883" spans="3:14" x14ac:dyDescent="0.25">
      <c r="C883" s="2">
        <v>882</v>
      </c>
      <c r="D883" s="10">
        <v>45083</v>
      </c>
      <c r="E883" s="2" t="s">
        <v>902</v>
      </c>
      <c r="F883" s="2" t="s">
        <v>20</v>
      </c>
      <c r="G883" s="2">
        <v>64</v>
      </c>
      <c r="H883" s="2" t="s">
        <v>23</v>
      </c>
      <c r="I883" s="2">
        <v>2</v>
      </c>
      <c r="J883" s="2">
        <v>25</v>
      </c>
      <c r="K883" s="2">
        <v>50</v>
      </c>
      <c r="M883" s="2">
        <v>50</v>
      </c>
      <c r="N883" t="str" cm="1">
        <f t="array" ref="N883">IF(M883=Table5[[#This Row],[Total Amount]],"Correct",Check)</f>
        <v>Correct</v>
      </c>
    </row>
    <row r="884" spans="3:14" x14ac:dyDescent="0.25">
      <c r="C884" s="2">
        <v>883</v>
      </c>
      <c r="D884" s="10">
        <v>45055</v>
      </c>
      <c r="E884" s="2" t="s">
        <v>903</v>
      </c>
      <c r="F884" s="2" t="s">
        <v>17</v>
      </c>
      <c r="G884" s="2">
        <v>40</v>
      </c>
      <c r="H884" s="2" t="s">
        <v>23</v>
      </c>
      <c r="I884" s="2">
        <v>1</v>
      </c>
      <c r="J884" s="2">
        <v>500</v>
      </c>
      <c r="K884" s="2">
        <v>500</v>
      </c>
      <c r="M884" s="2">
        <v>500</v>
      </c>
      <c r="N884" t="str" cm="1">
        <f t="array" ref="N884">IF(M884=Table5[[#This Row],[Total Amount]],"Correct",Check)</f>
        <v>Correct</v>
      </c>
    </row>
    <row r="885" spans="3:14" x14ac:dyDescent="0.25">
      <c r="C885" s="2">
        <v>884</v>
      </c>
      <c r="D885" s="10">
        <v>45045</v>
      </c>
      <c r="E885" s="2" t="s">
        <v>904</v>
      </c>
      <c r="F885" s="2" t="s">
        <v>20</v>
      </c>
      <c r="G885" s="2">
        <v>26</v>
      </c>
      <c r="H885" s="2" t="s">
        <v>21</v>
      </c>
      <c r="I885" s="2">
        <v>2</v>
      </c>
      <c r="J885" s="2">
        <v>30</v>
      </c>
      <c r="K885" s="2">
        <v>60</v>
      </c>
      <c r="M885" s="2">
        <v>60</v>
      </c>
      <c r="N885" t="str" cm="1">
        <f t="array" ref="N885">IF(M885=Table5[[#This Row],[Total Amount]],"Correct",Check)</f>
        <v>Correct</v>
      </c>
    </row>
    <row r="886" spans="3:14" x14ac:dyDescent="0.25">
      <c r="C886" s="2">
        <v>885</v>
      </c>
      <c r="D886" s="10">
        <v>44988</v>
      </c>
      <c r="E886" s="2" t="s">
        <v>905</v>
      </c>
      <c r="F886" s="2" t="s">
        <v>20</v>
      </c>
      <c r="G886" s="2">
        <v>52</v>
      </c>
      <c r="H886" s="2" t="s">
        <v>21</v>
      </c>
      <c r="I886" s="2">
        <v>4</v>
      </c>
      <c r="J886" s="2">
        <v>30</v>
      </c>
      <c r="K886" s="2">
        <v>120</v>
      </c>
      <c r="M886" s="2">
        <v>120</v>
      </c>
      <c r="N886" t="str" cm="1">
        <f t="array" ref="N886">IF(M886=Table5[[#This Row],[Total Amount]],"Correct",Check)</f>
        <v>Correct</v>
      </c>
    </row>
    <row r="887" spans="3:14" x14ac:dyDescent="0.25">
      <c r="C887" s="2">
        <v>886</v>
      </c>
      <c r="D887" s="10">
        <v>45025</v>
      </c>
      <c r="E887" s="2" t="s">
        <v>906</v>
      </c>
      <c r="F887" s="2" t="s">
        <v>17</v>
      </c>
      <c r="G887" s="2">
        <v>37</v>
      </c>
      <c r="H887" s="2" t="s">
        <v>23</v>
      </c>
      <c r="I887" s="2">
        <v>3</v>
      </c>
      <c r="J887" s="2">
        <v>300</v>
      </c>
      <c r="K887" s="2">
        <v>900</v>
      </c>
      <c r="M887" s="2">
        <v>900</v>
      </c>
      <c r="N887" t="str" cm="1">
        <f t="array" ref="N887">IF(M887=Table5[[#This Row],[Total Amount]],"Correct",Check)</f>
        <v>Correct</v>
      </c>
    </row>
    <row r="888" spans="3:14" x14ac:dyDescent="0.25">
      <c r="C888" s="2">
        <v>887</v>
      </c>
      <c r="D888" s="10">
        <v>45088</v>
      </c>
      <c r="E888" s="2" t="s">
        <v>907</v>
      </c>
      <c r="F888" s="2" t="s">
        <v>17</v>
      </c>
      <c r="G888" s="2">
        <v>59</v>
      </c>
      <c r="H888" s="2" t="s">
        <v>21</v>
      </c>
      <c r="I888" s="2">
        <v>4</v>
      </c>
      <c r="J888" s="2">
        <v>25</v>
      </c>
      <c r="K888" s="2">
        <v>100</v>
      </c>
      <c r="M888" s="2">
        <v>100</v>
      </c>
      <c r="N888" t="str" cm="1">
        <f t="array" ref="N888">IF(M888=Table5[[#This Row],[Total Amount]],"Correct",Check)</f>
        <v>Correct</v>
      </c>
    </row>
    <row r="889" spans="3:14" x14ac:dyDescent="0.25">
      <c r="C889" s="2">
        <v>888</v>
      </c>
      <c r="D889" s="10">
        <v>44988</v>
      </c>
      <c r="E889" s="2" t="s">
        <v>908</v>
      </c>
      <c r="F889" s="2" t="s">
        <v>20</v>
      </c>
      <c r="G889" s="2">
        <v>52</v>
      </c>
      <c r="H889" s="2" t="s">
        <v>23</v>
      </c>
      <c r="I889" s="2">
        <v>4</v>
      </c>
      <c r="J889" s="2">
        <v>25</v>
      </c>
      <c r="K889" s="2">
        <v>100</v>
      </c>
      <c r="M889" s="2">
        <v>100</v>
      </c>
      <c r="N889" t="str" cm="1">
        <f t="array" ref="N889">IF(M889=Table5[[#This Row],[Total Amount]],"Correct",Check)</f>
        <v>Correct</v>
      </c>
    </row>
    <row r="890" spans="3:14" x14ac:dyDescent="0.25">
      <c r="C890" s="2">
        <v>889</v>
      </c>
      <c r="D890" s="10">
        <v>45201</v>
      </c>
      <c r="E890" s="2" t="s">
        <v>909</v>
      </c>
      <c r="F890" s="2" t="s">
        <v>20</v>
      </c>
      <c r="G890" s="2">
        <v>35</v>
      </c>
      <c r="H890" s="2" t="s">
        <v>23</v>
      </c>
      <c r="I890" s="2">
        <v>1</v>
      </c>
      <c r="J890" s="2">
        <v>50</v>
      </c>
      <c r="K890" s="2">
        <v>50</v>
      </c>
      <c r="M890" s="2">
        <v>50</v>
      </c>
      <c r="N890" t="str" cm="1">
        <f t="array" ref="N890">IF(M890=Table5[[#This Row],[Total Amount]],"Correct",Check)</f>
        <v>Correct</v>
      </c>
    </row>
    <row r="891" spans="3:14" x14ac:dyDescent="0.25">
      <c r="C891" s="2">
        <v>890</v>
      </c>
      <c r="D891" s="10">
        <v>45280</v>
      </c>
      <c r="E891" s="2" t="s">
        <v>910</v>
      </c>
      <c r="F891" s="2" t="s">
        <v>17</v>
      </c>
      <c r="G891" s="2">
        <v>34</v>
      </c>
      <c r="H891" s="2" t="s">
        <v>23</v>
      </c>
      <c r="I891" s="2">
        <v>2</v>
      </c>
      <c r="J891" s="2">
        <v>25</v>
      </c>
      <c r="K891" s="2">
        <v>50</v>
      </c>
      <c r="M891" s="2">
        <v>50</v>
      </c>
      <c r="N891" t="str" cm="1">
        <f t="array" ref="N891">IF(M891=Table5[[#This Row],[Total Amount]],"Correct",Check)</f>
        <v>Correct</v>
      </c>
    </row>
    <row r="892" spans="3:14" x14ac:dyDescent="0.25">
      <c r="C892" s="2">
        <v>891</v>
      </c>
      <c r="D892" s="10">
        <v>45021</v>
      </c>
      <c r="E892" s="2" t="s">
        <v>911</v>
      </c>
      <c r="F892" s="2" t="s">
        <v>17</v>
      </c>
      <c r="G892" s="2">
        <v>41</v>
      </c>
      <c r="H892" s="2" t="s">
        <v>23</v>
      </c>
      <c r="I892" s="2">
        <v>3</v>
      </c>
      <c r="J892" s="2">
        <v>300</v>
      </c>
      <c r="K892" s="2">
        <v>900</v>
      </c>
      <c r="M892" s="2">
        <v>900</v>
      </c>
      <c r="N892" t="str" cm="1">
        <f t="array" ref="N892">IF(M892=Table5[[#This Row],[Total Amount]],"Correct",Check)</f>
        <v>Correct</v>
      </c>
    </row>
    <row r="893" spans="3:14" x14ac:dyDescent="0.25">
      <c r="C893" s="2">
        <v>892</v>
      </c>
      <c r="D893" s="10">
        <v>45025</v>
      </c>
      <c r="E893" s="2" t="s">
        <v>912</v>
      </c>
      <c r="F893" s="2" t="s">
        <v>17</v>
      </c>
      <c r="G893" s="2">
        <v>20</v>
      </c>
      <c r="H893" s="2" t="s">
        <v>23</v>
      </c>
      <c r="I893" s="2">
        <v>1</v>
      </c>
      <c r="J893" s="2">
        <v>50</v>
      </c>
      <c r="K893" s="2">
        <v>50</v>
      </c>
      <c r="M893" s="2">
        <v>50</v>
      </c>
      <c r="N893" t="str" cm="1">
        <f t="array" ref="N893">IF(M893=Table5[[#This Row],[Total Amount]],"Correct",Check)</f>
        <v>Correct</v>
      </c>
    </row>
    <row r="894" spans="3:14" x14ac:dyDescent="0.25">
      <c r="C894" s="2">
        <v>893</v>
      </c>
      <c r="D894" s="10">
        <v>45037</v>
      </c>
      <c r="E894" s="2" t="s">
        <v>913</v>
      </c>
      <c r="F894" s="2" t="s">
        <v>17</v>
      </c>
      <c r="G894" s="2">
        <v>49</v>
      </c>
      <c r="H894" s="2" t="s">
        <v>23</v>
      </c>
      <c r="I894" s="2">
        <v>1</v>
      </c>
      <c r="J894" s="2">
        <v>50</v>
      </c>
      <c r="K894" s="2">
        <v>50</v>
      </c>
      <c r="M894" s="2">
        <v>50</v>
      </c>
      <c r="N894" t="str" cm="1">
        <f t="array" ref="N894">IF(M894=Table5[[#This Row],[Total Amount]],"Correct",Check)</f>
        <v>Correct</v>
      </c>
    </row>
    <row r="895" spans="3:14" x14ac:dyDescent="0.25">
      <c r="C895" s="2">
        <v>894</v>
      </c>
      <c r="D895" s="10">
        <v>45174</v>
      </c>
      <c r="E895" s="2" t="s">
        <v>914</v>
      </c>
      <c r="F895" s="2" t="s">
        <v>17</v>
      </c>
      <c r="G895" s="2">
        <v>52</v>
      </c>
      <c r="H895" s="2" t="s">
        <v>23</v>
      </c>
      <c r="I895" s="2">
        <v>1</v>
      </c>
      <c r="J895" s="2">
        <v>30</v>
      </c>
      <c r="K895" s="2">
        <v>30</v>
      </c>
      <c r="M895" s="2">
        <v>30</v>
      </c>
      <c r="N895" t="str" cm="1">
        <f t="array" ref="N895">IF(M895=Table5[[#This Row],[Total Amount]],"Correct",Check)</f>
        <v>Correct</v>
      </c>
    </row>
    <row r="896" spans="3:14" x14ac:dyDescent="0.25">
      <c r="C896" s="2">
        <v>895</v>
      </c>
      <c r="D896" s="10">
        <v>45068</v>
      </c>
      <c r="E896" s="2" t="s">
        <v>915</v>
      </c>
      <c r="F896" s="2" t="s">
        <v>20</v>
      </c>
      <c r="G896" s="2">
        <v>55</v>
      </c>
      <c r="H896" s="2" t="s">
        <v>21</v>
      </c>
      <c r="I896" s="2">
        <v>4</v>
      </c>
      <c r="J896" s="2">
        <v>30</v>
      </c>
      <c r="K896" s="2">
        <v>120</v>
      </c>
      <c r="M896" s="2">
        <v>120</v>
      </c>
      <c r="N896" t="str" cm="1">
        <f t="array" ref="N896">IF(M896=Table5[[#This Row],[Total Amount]],"Correct",Check)</f>
        <v>Correct</v>
      </c>
    </row>
    <row r="897" spans="3:14" x14ac:dyDescent="0.25">
      <c r="C897" s="2">
        <v>896</v>
      </c>
      <c r="D897" s="10">
        <v>45228</v>
      </c>
      <c r="E897" s="2" t="s">
        <v>916</v>
      </c>
      <c r="F897" s="2" t="s">
        <v>20</v>
      </c>
      <c r="G897" s="2">
        <v>30</v>
      </c>
      <c r="H897" s="2" t="s">
        <v>23</v>
      </c>
      <c r="I897" s="2">
        <v>2</v>
      </c>
      <c r="J897" s="2">
        <v>25</v>
      </c>
      <c r="K897" s="2">
        <v>50</v>
      </c>
      <c r="M897" s="2">
        <v>50</v>
      </c>
      <c r="N897" t="str" cm="1">
        <f t="array" ref="N897">IF(M897=Table5[[#This Row],[Total Amount]],"Correct",Check)</f>
        <v>Correct</v>
      </c>
    </row>
    <row r="898" spans="3:14" x14ac:dyDescent="0.25">
      <c r="C898" s="2">
        <v>897</v>
      </c>
      <c r="D898" s="10">
        <v>45195</v>
      </c>
      <c r="E898" s="2" t="s">
        <v>917</v>
      </c>
      <c r="F898" s="2" t="s">
        <v>20</v>
      </c>
      <c r="G898" s="2">
        <v>64</v>
      </c>
      <c r="H898" s="2" t="s">
        <v>23</v>
      </c>
      <c r="I898" s="2">
        <v>2</v>
      </c>
      <c r="J898" s="2">
        <v>50</v>
      </c>
      <c r="K898" s="2">
        <v>100</v>
      </c>
      <c r="M898" s="2">
        <v>100</v>
      </c>
      <c r="N898" t="str" cm="1">
        <f t="array" ref="N898">IF(M898=Table5[[#This Row],[Total Amount]],"Correct",Check)</f>
        <v>Correct</v>
      </c>
    </row>
    <row r="899" spans="3:14" x14ac:dyDescent="0.25">
      <c r="C899" s="2">
        <v>898</v>
      </c>
      <c r="D899" s="10">
        <v>45232</v>
      </c>
      <c r="E899" s="2" t="s">
        <v>918</v>
      </c>
      <c r="F899" s="2" t="s">
        <v>20</v>
      </c>
      <c r="G899" s="2">
        <v>42</v>
      </c>
      <c r="H899" s="2" t="s">
        <v>21</v>
      </c>
      <c r="I899" s="2">
        <v>3</v>
      </c>
      <c r="J899" s="2">
        <v>30</v>
      </c>
      <c r="K899" s="2">
        <v>90</v>
      </c>
      <c r="M899" s="2">
        <v>90</v>
      </c>
      <c r="N899" t="str" cm="1">
        <f t="array" ref="N899">IF(M899=Table5[[#This Row],[Total Amount]],"Correct",Check)</f>
        <v>Correct</v>
      </c>
    </row>
    <row r="900" spans="3:14" x14ac:dyDescent="0.25">
      <c r="C900" s="2">
        <v>899</v>
      </c>
      <c r="D900" s="10">
        <v>45071</v>
      </c>
      <c r="E900" s="2" t="s">
        <v>919</v>
      </c>
      <c r="F900" s="2" t="s">
        <v>17</v>
      </c>
      <c r="G900" s="2">
        <v>26</v>
      </c>
      <c r="H900" s="2" t="s">
        <v>21</v>
      </c>
      <c r="I900" s="2">
        <v>2</v>
      </c>
      <c r="J900" s="2">
        <v>300</v>
      </c>
      <c r="K900" s="2">
        <v>600</v>
      </c>
      <c r="M900" s="2">
        <v>600</v>
      </c>
      <c r="N900" t="str" cm="1">
        <f t="array" ref="N900">IF(M900=Table5[[#This Row],[Total Amount]],"Correct",Check)</f>
        <v>Correct</v>
      </c>
    </row>
    <row r="901" spans="3:14" x14ac:dyDescent="0.25">
      <c r="C901" s="2">
        <v>900</v>
      </c>
      <c r="D901" s="10">
        <v>44978</v>
      </c>
      <c r="E901" s="2" t="s">
        <v>920</v>
      </c>
      <c r="F901" s="2" t="s">
        <v>17</v>
      </c>
      <c r="G901" s="2">
        <v>21</v>
      </c>
      <c r="H901" s="2" t="s">
        <v>21</v>
      </c>
      <c r="I901" s="2">
        <v>2</v>
      </c>
      <c r="J901" s="2">
        <v>30</v>
      </c>
      <c r="K901" s="2">
        <v>60</v>
      </c>
      <c r="M901" s="2">
        <v>60</v>
      </c>
      <c r="N901" t="str" cm="1">
        <f t="array" ref="N901">IF(M901=Table5[[#This Row],[Total Amount]],"Correct",Check)</f>
        <v>Correct</v>
      </c>
    </row>
    <row r="902" spans="3:14" x14ac:dyDescent="0.25">
      <c r="C902" s="2">
        <v>901</v>
      </c>
      <c r="D902" s="10">
        <v>45026</v>
      </c>
      <c r="E902" s="2" t="s">
        <v>921</v>
      </c>
      <c r="F902" s="2" t="s">
        <v>17</v>
      </c>
      <c r="G902" s="2">
        <v>31</v>
      </c>
      <c r="H902" s="2" t="s">
        <v>23</v>
      </c>
      <c r="I902" s="2">
        <v>1</v>
      </c>
      <c r="J902" s="2">
        <v>30</v>
      </c>
      <c r="K902" s="2">
        <v>30</v>
      </c>
      <c r="M902" s="2">
        <v>30</v>
      </c>
      <c r="N902" t="str" cm="1">
        <f t="array" ref="N902">IF(M902=Table5[[#This Row],[Total Amount]],"Correct",Check)</f>
        <v>Correct</v>
      </c>
    </row>
    <row r="903" spans="3:14" x14ac:dyDescent="0.25">
      <c r="C903" s="2">
        <v>902</v>
      </c>
      <c r="D903" s="10">
        <v>45078</v>
      </c>
      <c r="E903" s="2" t="s">
        <v>922</v>
      </c>
      <c r="F903" s="2" t="s">
        <v>20</v>
      </c>
      <c r="G903" s="2">
        <v>54</v>
      </c>
      <c r="H903" s="2" t="s">
        <v>18</v>
      </c>
      <c r="I903" s="2">
        <v>1</v>
      </c>
      <c r="J903" s="2">
        <v>50</v>
      </c>
      <c r="K903" s="2">
        <v>50</v>
      </c>
      <c r="M903" s="2">
        <v>50</v>
      </c>
      <c r="N903" t="str" cm="1">
        <f t="array" ref="N903">IF(M903=Table5[[#This Row],[Total Amount]],"Correct",Check)</f>
        <v>Correct</v>
      </c>
    </row>
    <row r="904" spans="3:14" x14ac:dyDescent="0.25">
      <c r="C904" s="2">
        <v>903</v>
      </c>
      <c r="D904" s="10">
        <v>45043</v>
      </c>
      <c r="E904" s="2" t="s">
        <v>923</v>
      </c>
      <c r="F904" s="2" t="s">
        <v>20</v>
      </c>
      <c r="G904" s="2">
        <v>51</v>
      </c>
      <c r="H904" s="2" t="s">
        <v>18</v>
      </c>
      <c r="I904" s="2">
        <v>4</v>
      </c>
      <c r="J904" s="2">
        <v>50</v>
      </c>
      <c r="K904" s="2">
        <v>200</v>
      </c>
      <c r="M904" s="2">
        <v>200</v>
      </c>
      <c r="N904" t="str" cm="1">
        <f t="array" ref="N904">IF(M904=Table5[[#This Row],[Total Amount]],"Correct",Check)</f>
        <v>Correct</v>
      </c>
    </row>
    <row r="905" spans="3:14" x14ac:dyDescent="0.25">
      <c r="C905" s="2">
        <v>904</v>
      </c>
      <c r="D905" s="10">
        <v>45111</v>
      </c>
      <c r="E905" s="2" t="s">
        <v>924</v>
      </c>
      <c r="F905" s="2" t="s">
        <v>17</v>
      </c>
      <c r="G905" s="2">
        <v>28</v>
      </c>
      <c r="H905" s="2" t="s">
        <v>21</v>
      </c>
      <c r="I905" s="2">
        <v>1</v>
      </c>
      <c r="J905" s="2">
        <v>500</v>
      </c>
      <c r="K905" s="2">
        <v>500</v>
      </c>
      <c r="M905" s="2">
        <v>500</v>
      </c>
      <c r="N905" t="str" cm="1">
        <f t="array" ref="N905">IF(M905=Table5[[#This Row],[Total Amount]],"Correct",Check)</f>
        <v>Correct</v>
      </c>
    </row>
    <row r="906" spans="3:14" x14ac:dyDescent="0.25">
      <c r="C906" s="2">
        <v>905</v>
      </c>
      <c r="D906" s="10">
        <v>45018</v>
      </c>
      <c r="E906" s="2" t="s">
        <v>925</v>
      </c>
      <c r="F906" s="2" t="s">
        <v>17</v>
      </c>
      <c r="G906" s="2">
        <v>58</v>
      </c>
      <c r="H906" s="2" t="s">
        <v>18</v>
      </c>
      <c r="I906" s="2">
        <v>1</v>
      </c>
      <c r="J906" s="2">
        <v>300</v>
      </c>
      <c r="K906" s="2">
        <v>300</v>
      </c>
      <c r="M906" s="2">
        <v>300</v>
      </c>
      <c r="N906" t="str" cm="1">
        <f t="array" ref="N906">IF(M906=Table5[[#This Row],[Total Amount]],"Correct",Check)</f>
        <v>Correct</v>
      </c>
    </row>
    <row r="907" spans="3:14" x14ac:dyDescent="0.25">
      <c r="C907" s="2">
        <v>906</v>
      </c>
      <c r="D907" s="10">
        <v>45081</v>
      </c>
      <c r="E907" s="2" t="s">
        <v>926</v>
      </c>
      <c r="F907" s="2" t="s">
        <v>20</v>
      </c>
      <c r="G907" s="2">
        <v>20</v>
      </c>
      <c r="H907" s="2" t="s">
        <v>21</v>
      </c>
      <c r="I907" s="2">
        <v>1</v>
      </c>
      <c r="J907" s="2">
        <v>50</v>
      </c>
      <c r="K907" s="2">
        <v>50</v>
      </c>
      <c r="M907" s="2">
        <v>50</v>
      </c>
      <c r="N907" t="str" cm="1">
        <f t="array" ref="N907">IF(M907=Table5[[#This Row],[Total Amount]],"Correct",Check)</f>
        <v>Correct</v>
      </c>
    </row>
    <row r="908" spans="3:14" x14ac:dyDescent="0.25">
      <c r="C908" s="2">
        <v>907</v>
      </c>
      <c r="D908" s="10">
        <v>44934</v>
      </c>
      <c r="E908" s="2" t="s">
        <v>927</v>
      </c>
      <c r="F908" s="2" t="s">
        <v>20</v>
      </c>
      <c r="G908" s="2">
        <v>45</v>
      </c>
      <c r="H908" s="2" t="s">
        <v>23</v>
      </c>
      <c r="I908" s="2">
        <v>1</v>
      </c>
      <c r="J908" s="2">
        <v>25</v>
      </c>
      <c r="K908" s="2">
        <v>25</v>
      </c>
      <c r="M908" s="2">
        <v>25</v>
      </c>
      <c r="N908" t="str" cm="1">
        <f t="array" ref="N908">IF(M908=Table5[[#This Row],[Total Amount]],"Correct",Check)</f>
        <v>Correct</v>
      </c>
    </row>
    <row r="909" spans="3:14" x14ac:dyDescent="0.25">
      <c r="C909" s="2">
        <v>908</v>
      </c>
      <c r="D909" s="10">
        <v>45289</v>
      </c>
      <c r="E909" s="2" t="s">
        <v>928</v>
      </c>
      <c r="F909" s="2" t="s">
        <v>17</v>
      </c>
      <c r="G909" s="2">
        <v>46</v>
      </c>
      <c r="H909" s="2" t="s">
        <v>18</v>
      </c>
      <c r="I909" s="2">
        <v>4</v>
      </c>
      <c r="J909" s="2">
        <v>300</v>
      </c>
      <c r="K909" s="2">
        <v>1200</v>
      </c>
      <c r="M909" s="2">
        <v>1200</v>
      </c>
      <c r="N909" t="str" cm="1">
        <f t="array" ref="N909">IF(M909=Table5[[#This Row],[Total Amount]],"Correct",Check)</f>
        <v>Correct</v>
      </c>
    </row>
    <row r="910" spans="3:14" x14ac:dyDescent="0.25">
      <c r="C910" s="2">
        <v>909</v>
      </c>
      <c r="D910" s="10">
        <v>45200</v>
      </c>
      <c r="E910" s="2" t="s">
        <v>929</v>
      </c>
      <c r="F910" s="2" t="s">
        <v>17</v>
      </c>
      <c r="G910" s="2">
        <v>26</v>
      </c>
      <c r="H910" s="2" t="s">
        <v>23</v>
      </c>
      <c r="I910" s="2">
        <v>1</v>
      </c>
      <c r="J910" s="2">
        <v>300</v>
      </c>
      <c r="K910" s="2">
        <v>300</v>
      </c>
      <c r="M910" s="2">
        <v>300</v>
      </c>
      <c r="N910" t="str" cm="1">
        <f t="array" ref="N910">IF(M910=Table5[[#This Row],[Total Amount]],"Correct",Check)</f>
        <v>Correct</v>
      </c>
    </row>
    <row r="911" spans="3:14" x14ac:dyDescent="0.25">
      <c r="C911" s="2">
        <v>910</v>
      </c>
      <c r="D911" s="10">
        <v>44991</v>
      </c>
      <c r="E911" s="2" t="s">
        <v>930</v>
      </c>
      <c r="F911" s="2" t="s">
        <v>20</v>
      </c>
      <c r="G911" s="2">
        <v>20</v>
      </c>
      <c r="H911" s="2" t="s">
        <v>18</v>
      </c>
      <c r="I911" s="2">
        <v>3</v>
      </c>
      <c r="J911" s="2">
        <v>50</v>
      </c>
      <c r="K911" s="2">
        <v>150</v>
      </c>
      <c r="M911" s="2">
        <v>150</v>
      </c>
      <c r="N911" t="str" cm="1">
        <f t="array" ref="N911">IF(M911=Table5[[#This Row],[Total Amount]],"Correct",Check)</f>
        <v>Correct</v>
      </c>
    </row>
    <row r="912" spans="3:14" x14ac:dyDescent="0.25">
      <c r="C912" s="2">
        <v>911</v>
      </c>
      <c r="D912" s="10">
        <v>45067</v>
      </c>
      <c r="E912" s="2" t="s">
        <v>931</v>
      </c>
      <c r="F912" s="2" t="s">
        <v>17</v>
      </c>
      <c r="G912" s="2">
        <v>42</v>
      </c>
      <c r="H912" s="2" t="s">
        <v>23</v>
      </c>
      <c r="I912" s="2">
        <v>3</v>
      </c>
      <c r="J912" s="2">
        <v>300</v>
      </c>
      <c r="K912" s="2">
        <v>900</v>
      </c>
      <c r="M912" s="2">
        <v>900</v>
      </c>
      <c r="N912" t="str" cm="1">
        <f t="array" ref="N912">IF(M912=Table5[[#This Row],[Total Amount]],"Correct",Check)</f>
        <v>Correct</v>
      </c>
    </row>
    <row r="913" spans="3:14" x14ac:dyDescent="0.25">
      <c r="C913" s="2">
        <v>912</v>
      </c>
      <c r="D913" s="10">
        <v>44950</v>
      </c>
      <c r="E913" s="2" t="s">
        <v>932</v>
      </c>
      <c r="F913" s="2" t="s">
        <v>17</v>
      </c>
      <c r="G913" s="2">
        <v>51</v>
      </c>
      <c r="H913" s="2" t="s">
        <v>18</v>
      </c>
      <c r="I913" s="2">
        <v>3</v>
      </c>
      <c r="J913" s="2">
        <v>50</v>
      </c>
      <c r="K913" s="2">
        <v>150</v>
      </c>
      <c r="M913" s="2">
        <v>150</v>
      </c>
      <c r="N913" t="str" cm="1">
        <f t="array" ref="N913">IF(M913=Table5[[#This Row],[Total Amount]],"Correct",Check)</f>
        <v>Correct</v>
      </c>
    </row>
    <row r="914" spans="3:14" x14ac:dyDescent="0.25">
      <c r="C914" s="2">
        <v>913</v>
      </c>
      <c r="D914" s="10">
        <v>44954</v>
      </c>
      <c r="E914" s="2" t="s">
        <v>933</v>
      </c>
      <c r="F914" s="2" t="s">
        <v>17</v>
      </c>
      <c r="G914" s="2">
        <v>29</v>
      </c>
      <c r="H914" s="2" t="s">
        <v>23</v>
      </c>
      <c r="I914" s="2">
        <v>3</v>
      </c>
      <c r="J914" s="2">
        <v>30</v>
      </c>
      <c r="K914" s="2">
        <v>90</v>
      </c>
      <c r="M914" s="2">
        <v>90</v>
      </c>
      <c r="N914" t="str" cm="1">
        <f t="array" ref="N914">IF(M914=Table5[[#This Row],[Total Amount]],"Correct",Check)</f>
        <v>Correct</v>
      </c>
    </row>
    <row r="915" spans="3:14" x14ac:dyDescent="0.25">
      <c r="C915" s="2">
        <v>914</v>
      </c>
      <c r="D915" s="10">
        <v>45210</v>
      </c>
      <c r="E915" s="2" t="s">
        <v>934</v>
      </c>
      <c r="F915" s="2" t="s">
        <v>20</v>
      </c>
      <c r="G915" s="2">
        <v>59</v>
      </c>
      <c r="H915" s="2" t="s">
        <v>23</v>
      </c>
      <c r="I915" s="2">
        <v>1</v>
      </c>
      <c r="J915" s="2">
        <v>500</v>
      </c>
      <c r="K915" s="2">
        <v>500</v>
      </c>
      <c r="M915" s="2">
        <v>500</v>
      </c>
      <c r="N915" t="str" cm="1">
        <f t="array" ref="N915">IF(M915=Table5[[#This Row],[Total Amount]],"Correct",Check)</f>
        <v>Correct</v>
      </c>
    </row>
    <row r="916" spans="3:14" x14ac:dyDescent="0.25">
      <c r="C916" s="2">
        <v>915</v>
      </c>
      <c r="D916" s="10">
        <v>45076</v>
      </c>
      <c r="E916" s="2" t="s">
        <v>935</v>
      </c>
      <c r="F916" s="2" t="s">
        <v>20</v>
      </c>
      <c r="G916" s="2">
        <v>26</v>
      </c>
      <c r="H916" s="2" t="s">
        <v>18</v>
      </c>
      <c r="I916" s="2">
        <v>3</v>
      </c>
      <c r="J916" s="2">
        <v>30</v>
      </c>
      <c r="K916" s="2">
        <v>90</v>
      </c>
      <c r="M916" s="2">
        <v>90</v>
      </c>
      <c r="N916" t="str" cm="1">
        <f t="array" ref="N916">IF(M916=Table5[[#This Row],[Total Amount]],"Correct",Check)</f>
        <v>Correct</v>
      </c>
    </row>
    <row r="917" spans="3:14" x14ac:dyDescent="0.25">
      <c r="C917" s="2">
        <v>916</v>
      </c>
      <c r="D917" s="10">
        <v>45284</v>
      </c>
      <c r="E917" s="2" t="s">
        <v>936</v>
      </c>
      <c r="F917" s="2" t="s">
        <v>20</v>
      </c>
      <c r="G917" s="2">
        <v>32</v>
      </c>
      <c r="H917" s="2" t="s">
        <v>23</v>
      </c>
      <c r="I917" s="2">
        <v>1</v>
      </c>
      <c r="J917" s="2">
        <v>50</v>
      </c>
      <c r="K917" s="2">
        <v>50</v>
      </c>
      <c r="M917" s="2">
        <v>50</v>
      </c>
      <c r="N917" t="str" cm="1">
        <f t="array" ref="N917">IF(M917=Table5[[#This Row],[Total Amount]],"Correct",Check)</f>
        <v>Correct</v>
      </c>
    </row>
    <row r="918" spans="3:14" x14ac:dyDescent="0.25">
      <c r="C918" s="2">
        <v>917</v>
      </c>
      <c r="D918" s="10">
        <v>44991</v>
      </c>
      <c r="E918" s="2" t="s">
        <v>937</v>
      </c>
      <c r="F918" s="2" t="s">
        <v>20</v>
      </c>
      <c r="G918" s="2">
        <v>57</v>
      </c>
      <c r="H918" s="2" t="s">
        <v>23</v>
      </c>
      <c r="I918" s="2">
        <v>4</v>
      </c>
      <c r="J918" s="2">
        <v>50</v>
      </c>
      <c r="K918" s="2">
        <v>200</v>
      </c>
      <c r="M918" s="2">
        <v>200</v>
      </c>
      <c r="N918" t="str" cm="1">
        <f t="array" ref="N918">IF(M918=Table5[[#This Row],[Total Amount]],"Correct",Check)</f>
        <v>Correct</v>
      </c>
    </row>
    <row r="919" spans="3:14" x14ac:dyDescent="0.25">
      <c r="C919" s="2">
        <v>918</v>
      </c>
      <c r="D919" s="10">
        <v>45253</v>
      </c>
      <c r="E919" s="2" t="s">
        <v>938</v>
      </c>
      <c r="F919" s="2" t="s">
        <v>20</v>
      </c>
      <c r="G919" s="2">
        <v>42</v>
      </c>
      <c r="H919" s="2" t="s">
        <v>23</v>
      </c>
      <c r="I919" s="2">
        <v>3</v>
      </c>
      <c r="J919" s="2">
        <v>30</v>
      </c>
      <c r="K919" s="2">
        <v>90</v>
      </c>
      <c r="M919" s="2">
        <v>90</v>
      </c>
      <c r="N919" t="str" cm="1">
        <f t="array" ref="N919">IF(M919=Table5[[#This Row],[Total Amount]],"Correct",Check)</f>
        <v>Correct</v>
      </c>
    </row>
    <row r="920" spans="3:14" x14ac:dyDescent="0.25">
      <c r="C920" s="2">
        <v>919</v>
      </c>
      <c r="D920" s="10">
        <v>45178</v>
      </c>
      <c r="E920" s="2" t="s">
        <v>939</v>
      </c>
      <c r="F920" s="2" t="s">
        <v>20</v>
      </c>
      <c r="G920" s="2">
        <v>22</v>
      </c>
      <c r="H920" s="2" t="s">
        <v>18</v>
      </c>
      <c r="I920" s="2">
        <v>2</v>
      </c>
      <c r="J920" s="2">
        <v>25</v>
      </c>
      <c r="K920" s="2">
        <v>50</v>
      </c>
      <c r="M920" s="2">
        <v>50</v>
      </c>
      <c r="N920" t="str" cm="1">
        <f t="array" ref="N920">IF(M920=Table5[[#This Row],[Total Amount]],"Correct",Check)</f>
        <v>Correct</v>
      </c>
    </row>
    <row r="921" spans="3:14" x14ac:dyDescent="0.25">
      <c r="C921" s="2">
        <v>920</v>
      </c>
      <c r="D921" s="10">
        <v>44979</v>
      </c>
      <c r="E921" s="2" t="s">
        <v>940</v>
      </c>
      <c r="F921" s="2" t="s">
        <v>20</v>
      </c>
      <c r="G921" s="2">
        <v>28</v>
      </c>
      <c r="H921" s="2" t="s">
        <v>18</v>
      </c>
      <c r="I921" s="2">
        <v>3</v>
      </c>
      <c r="J921" s="2">
        <v>25</v>
      </c>
      <c r="K921" s="2">
        <v>75</v>
      </c>
      <c r="M921" s="2">
        <v>75</v>
      </c>
      <c r="N921" t="str" cm="1">
        <f t="array" ref="N921">IF(M921=Table5[[#This Row],[Total Amount]],"Correct",Check)</f>
        <v>Correct</v>
      </c>
    </row>
    <row r="922" spans="3:14" x14ac:dyDescent="0.25">
      <c r="C922" s="2">
        <v>921</v>
      </c>
      <c r="D922" s="10">
        <v>44933</v>
      </c>
      <c r="E922" s="2" t="s">
        <v>941</v>
      </c>
      <c r="F922" s="2" t="s">
        <v>17</v>
      </c>
      <c r="G922" s="2">
        <v>51</v>
      </c>
      <c r="H922" s="2" t="s">
        <v>23</v>
      </c>
      <c r="I922" s="2">
        <v>3</v>
      </c>
      <c r="J922" s="2">
        <v>25</v>
      </c>
      <c r="K922" s="2">
        <v>75</v>
      </c>
      <c r="M922" s="2">
        <v>75</v>
      </c>
      <c r="N922" t="str" cm="1">
        <f t="array" ref="N922">IF(M922=Table5[[#This Row],[Total Amount]],"Correct",Check)</f>
        <v>Correct</v>
      </c>
    </row>
    <row r="923" spans="3:14" x14ac:dyDescent="0.25">
      <c r="C923" s="2">
        <v>922</v>
      </c>
      <c r="D923" s="10">
        <v>45220</v>
      </c>
      <c r="E923" s="2" t="s">
        <v>942</v>
      </c>
      <c r="F923" s="2" t="s">
        <v>17</v>
      </c>
      <c r="G923" s="2">
        <v>41</v>
      </c>
      <c r="H923" s="2" t="s">
        <v>23</v>
      </c>
      <c r="I923" s="2">
        <v>1</v>
      </c>
      <c r="J923" s="2">
        <v>50</v>
      </c>
      <c r="K923" s="2">
        <v>50</v>
      </c>
      <c r="M923" s="2">
        <v>50</v>
      </c>
      <c r="N923" t="str" cm="1">
        <f t="array" ref="N923">IF(M923=Table5[[#This Row],[Total Amount]],"Correct",Check)</f>
        <v>Correct</v>
      </c>
    </row>
    <row r="924" spans="3:14" x14ac:dyDescent="0.25">
      <c r="C924" s="2">
        <v>923</v>
      </c>
      <c r="D924" s="10">
        <v>45072</v>
      </c>
      <c r="E924" s="2" t="s">
        <v>943</v>
      </c>
      <c r="F924" s="2" t="s">
        <v>17</v>
      </c>
      <c r="G924" s="2">
        <v>32</v>
      </c>
      <c r="H924" s="2" t="s">
        <v>18</v>
      </c>
      <c r="I924" s="2">
        <v>3</v>
      </c>
      <c r="J924" s="2">
        <v>300</v>
      </c>
      <c r="K924" s="2">
        <v>900</v>
      </c>
      <c r="M924" s="2">
        <v>900</v>
      </c>
      <c r="N924" t="str" cm="1">
        <f t="array" ref="N924">IF(M924=Table5[[#This Row],[Total Amount]],"Correct",Check)</f>
        <v>Correct</v>
      </c>
    </row>
    <row r="925" spans="3:14" x14ac:dyDescent="0.25">
      <c r="C925" s="2">
        <v>924</v>
      </c>
      <c r="D925" s="10">
        <v>45167</v>
      </c>
      <c r="E925" s="2" t="s">
        <v>944</v>
      </c>
      <c r="F925" s="2" t="s">
        <v>17</v>
      </c>
      <c r="G925" s="2">
        <v>55</v>
      </c>
      <c r="H925" s="2" t="s">
        <v>18</v>
      </c>
      <c r="I925" s="2">
        <v>2</v>
      </c>
      <c r="J925" s="2">
        <v>50</v>
      </c>
      <c r="K925" s="2">
        <v>100</v>
      </c>
      <c r="M925" s="2">
        <v>100</v>
      </c>
      <c r="N925" t="str" cm="1">
        <f t="array" ref="N925">IF(M925=Table5[[#This Row],[Total Amount]],"Correct",Check)</f>
        <v>Correct</v>
      </c>
    </row>
    <row r="926" spans="3:14" x14ac:dyDescent="0.25">
      <c r="C926" s="2">
        <v>925</v>
      </c>
      <c r="D926" s="10">
        <v>45172</v>
      </c>
      <c r="E926" s="2" t="s">
        <v>945</v>
      </c>
      <c r="F926" s="2" t="s">
        <v>17</v>
      </c>
      <c r="G926" s="2">
        <v>25</v>
      </c>
      <c r="H926" s="2" t="s">
        <v>23</v>
      </c>
      <c r="I926" s="2">
        <v>1</v>
      </c>
      <c r="J926" s="2">
        <v>300</v>
      </c>
      <c r="K926" s="2">
        <v>300</v>
      </c>
      <c r="M926" s="2">
        <v>300</v>
      </c>
      <c r="N926" t="str" cm="1">
        <f t="array" ref="N926">IF(M926=Table5[[#This Row],[Total Amount]],"Correct",Check)</f>
        <v>Correct</v>
      </c>
    </row>
    <row r="927" spans="3:14" x14ac:dyDescent="0.25">
      <c r="C927" s="2">
        <v>926</v>
      </c>
      <c r="D927" s="10">
        <v>45152</v>
      </c>
      <c r="E927" s="2" t="s">
        <v>946</v>
      </c>
      <c r="F927" s="2" t="s">
        <v>17</v>
      </c>
      <c r="G927" s="2">
        <v>22</v>
      </c>
      <c r="H927" s="2" t="s">
        <v>23</v>
      </c>
      <c r="I927" s="2">
        <v>1</v>
      </c>
      <c r="J927" s="2">
        <v>30</v>
      </c>
      <c r="K927" s="2">
        <v>30</v>
      </c>
      <c r="M927" s="2">
        <v>30</v>
      </c>
      <c r="N927" t="str" cm="1">
        <f t="array" ref="N927">IF(M927=Table5[[#This Row],[Total Amount]],"Correct",Check)</f>
        <v>Correct</v>
      </c>
    </row>
    <row r="928" spans="3:14" x14ac:dyDescent="0.25">
      <c r="C928" s="2">
        <v>927</v>
      </c>
      <c r="D928" s="10">
        <v>45101</v>
      </c>
      <c r="E928" s="2" t="s">
        <v>947</v>
      </c>
      <c r="F928" s="2" t="s">
        <v>17</v>
      </c>
      <c r="G928" s="2">
        <v>43</v>
      </c>
      <c r="H928" s="2" t="s">
        <v>23</v>
      </c>
      <c r="I928" s="2">
        <v>4</v>
      </c>
      <c r="J928" s="2">
        <v>500</v>
      </c>
      <c r="K928" s="2">
        <v>2000</v>
      </c>
      <c r="M928" s="2">
        <v>2000</v>
      </c>
      <c r="N928" t="str" cm="1">
        <f t="array" ref="N928">IF(M928=Table5[[#This Row],[Total Amount]],"Correct",Check)</f>
        <v>Correct</v>
      </c>
    </row>
    <row r="929" spans="3:14" x14ac:dyDescent="0.25">
      <c r="C929" s="2">
        <v>928</v>
      </c>
      <c r="D929" s="10">
        <v>45021</v>
      </c>
      <c r="E929" s="2" t="s">
        <v>948</v>
      </c>
      <c r="F929" s="2" t="s">
        <v>20</v>
      </c>
      <c r="G929" s="2">
        <v>35</v>
      </c>
      <c r="H929" s="2" t="s">
        <v>21</v>
      </c>
      <c r="I929" s="2">
        <v>4</v>
      </c>
      <c r="J929" s="2">
        <v>300</v>
      </c>
      <c r="K929" s="2">
        <v>1200</v>
      </c>
      <c r="M929" s="2">
        <v>1200</v>
      </c>
      <c r="N929" t="str" cm="1">
        <f t="array" ref="N929">IF(M929=Table5[[#This Row],[Total Amount]],"Correct",Check)</f>
        <v>Correct</v>
      </c>
    </row>
    <row r="930" spans="3:14" x14ac:dyDescent="0.25">
      <c r="C930" s="2">
        <v>929</v>
      </c>
      <c r="D930" s="10">
        <v>44953</v>
      </c>
      <c r="E930" s="2" t="s">
        <v>949</v>
      </c>
      <c r="F930" s="2" t="s">
        <v>20</v>
      </c>
      <c r="G930" s="2">
        <v>23</v>
      </c>
      <c r="H930" s="2" t="s">
        <v>18</v>
      </c>
      <c r="I930" s="2">
        <v>3</v>
      </c>
      <c r="J930" s="2">
        <v>25</v>
      </c>
      <c r="K930" s="2">
        <v>75</v>
      </c>
      <c r="M930" s="2">
        <v>75</v>
      </c>
      <c r="N930" t="str" cm="1">
        <f t="array" ref="N930">IF(M930=Table5[[#This Row],[Total Amount]],"Correct",Check)</f>
        <v>Correct</v>
      </c>
    </row>
    <row r="931" spans="3:14" x14ac:dyDescent="0.25">
      <c r="C931" s="2">
        <v>930</v>
      </c>
      <c r="D931" s="10">
        <v>45056</v>
      </c>
      <c r="E931" s="2" t="s">
        <v>950</v>
      </c>
      <c r="F931" s="2" t="s">
        <v>17</v>
      </c>
      <c r="G931" s="2">
        <v>54</v>
      </c>
      <c r="H931" s="2" t="s">
        <v>21</v>
      </c>
      <c r="I931" s="2">
        <v>4</v>
      </c>
      <c r="J931" s="2">
        <v>50</v>
      </c>
      <c r="K931" s="2">
        <v>200</v>
      </c>
      <c r="M931" s="2">
        <v>200</v>
      </c>
      <c r="N931" t="str" cm="1">
        <f t="array" ref="N931">IF(M931=Table5[[#This Row],[Total Amount]],"Correct",Check)</f>
        <v>Correct</v>
      </c>
    </row>
    <row r="932" spans="3:14" x14ac:dyDescent="0.25">
      <c r="C932" s="2">
        <v>931</v>
      </c>
      <c r="D932" s="10">
        <v>45171</v>
      </c>
      <c r="E932" s="2" t="s">
        <v>951</v>
      </c>
      <c r="F932" s="2" t="s">
        <v>17</v>
      </c>
      <c r="G932" s="2">
        <v>30</v>
      </c>
      <c r="H932" s="2" t="s">
        <v>18</v>
      </c>
      <c r="I932" s="2">
        <v>4</v>
      </c>
      <c r="J932" s="2">
        <v>30</v>
      </c>
      <c r="K932" s="2">
        <v>120</v>
      </c>
      <c r="M932" s="2">
        <v>120</v>
      </c>
      <c r="N932" t="str" cm="1">
        <f t="array" ref="N932">IF(M932=Table5[[#This Row],[Total Amount]],"Correct",Check)</f>
        <v>Correct</v>
      </c>
    </row>
    <row r="933" spans="3:14" x14ac:dyDescent="0.25">
      <c r="C933" s="2">
        <v>932</v>
      </c>
      <c r="D933" s="10">
        <v>44985</v>
      </c>
      <c r="E933" s="2" t="s">
        <v>952</v>
      </c>
      <c r="F933" s="2" t="s">
        <v>20</v>
      </c>
      <c r="G933" s="2">
        <v>45</v>
      </c>
      <c r="H933" s="2" t="s">
        <v>18</v>
      </c>
      <c r="I933" s="2">
        <v>4</v>
      </c>
      <c r="J933" s="2">
        <v>25</v>
      </c>
      <c r="K933" s="2">
        <v>100</v>
      </c>
      <c r="M933" s="2">
        <v>100</v>
      </c>
      <c r="N933" t="str" cm="1">
        <f t="array" ref="N933">IF(M933=Table5[[#This Row],[Total Amount]],"Correct",Check)</f>
        <v>Correct</v>
      </c>
    </row>
    <row r="934" spans="3:14" x14ac:dyDescent="0.25">
      <c r="C934" s="2">
        <v>933</v>
      </c>
      <c r="D934" s="10">
        <v>44960</v>
      </c>
      <c r="E934" s="2" t="s">
        <v>953</v>
      </c>
      <c r="F934" s="2" t="s">
        <v>17</v>
      </c>
      <c r="G934" s="2">
        <v>22</v>
      </c>
      <c r="H934" s="2" t="s">
        <v>18</v>
      </c>
      <c r="I934" s="2">
        <v>1</v>
      </c>
      <c r="J934" s="2">
        <v>30</v>
      </c>
      <c r="K934" s="2">
        <v>30</v>
      </c>
      <c r="M934" s="2">
        <v>30</v>
      </c>
      <c r="N934" t="str" cm="1">
        <f t="array" ref="N934">IF(M934=Table5[[#This Row],[Total Amount]],"Correct",Check)</f>
        <v>Correct</v>
      </c>
    </row>
    <row r="935" spans="3:14" x14ac:dyDescent="0.25">
      <c r="C935" s="2">
        <v>934</v>
      </c>
      <c r="D935" s="10">
        <v>45132</v>
      </c>
      <c r="E935" s="2" t="s">
        <v>954</v>
      </c>
      <c r="F935" s="2" t="s">
        <v>17</v>
      </c>
      <c r="G935" s="2">
        <v>30</v>
      </c>
      <c r="H935" s="2" t="s">
        <v>18</v>
      </c>
      <c r="I935" s="2">
        <v>1</v>
      </c>
      <c r="J935" s="2">
        <v>500</v>
      </c>
      <c r="K935" s="2">
        <v>500</v>
      </c>
      <c r="M935" s="2">
        <v>500</v>
      </c>
      <c r="N935" t="str" cm="1">
        <f t="array" ref="N935">IF(M935=Table5[[#This Row],[Total Amount]],"Correct",Check)</f>
        <v>Correct</v>
      </c>
    </row>
    <row r="936" spans="3:14" x14ac:dyDescent="0.25">
      <c r="C936" s="2">
        <v>935</v>
      </c>
      <c r="D936" s="10">
        <v>45178</v>
      </c>
      <c r="E936" s="2" t="s">
        <v>955</v>
      </c>
      <c r="F936" s="2" t="s">
        <v>20</v>
      </c>
      <c r="G936" s="2">
        <v>34</v>
      </c>
      <c r="H936" s="2" t="s">
        <v>18</v>
      </c>
      <c r="I936" s="2">
        <v>1</v>
      </c>
      <c r="J936" s="2">
        <v>50</v>
      </c>
      <c r="K936" s="2">
        <v>50</v>
      </c>
      <c r="M936" s="2">
        <v>50</v>
      </c>
      <c r="N936" t="str" cm="1">
        <f t="array" ref="N936">IF(M936=Table5[[#This Row],[Total Amount]],"Correct",Check)</f>
        <v>Correct</v>
      </c>
    </row>
    <row r="937" spans="3:14" x14ac:dyDescent="0.25">
      <c r="C937" s="2">
        <v>936</v>
      </c>
      <c r="D937" s="10">
        <v>44964</v>
      </c>
      <c r="E937" s="2" t="s">
        <v>956</v>
      </c>
      <c r="F937" s="2" t="s">
        <v>17</v>
      </c>
      <c r="G937" s="2">
        <v>57</v>
      </c>
      <c r="H937" s="2" t="s">
        <v>18</v>
      </c>
      <c r="I937" s="2">
        <v>4</v>
      </c>
      <c r="J937" s="2">
        <v>50</v>
      </c>
      <c r="K937" s="2">
        <v>200</v>
      </c>
      <c r="M937" s="2">
        <v>200</v>
      </c>
      <c r="N937" t="str" cm="1">
        <f t="array" ref="N937">IF(M937=Table5[[#This Row],[Total Amount]],"Correct",Check)</f>
        <v>Correct</v>
      </c>
    </row>
    <row r="938" spans="3:14" x14ac:dyDescent="0.25">
      <c r="C938" s="2">
        <v>937</v>
      </c>
      <c r="D938" s="10">
        <v>45222</v>
      </c>
      <c r="E938" s="2" t="s">
        <v>957</v>
      </c>
      <c r="F938" s="2" t="s">
        <v>20</v>
      </c>
      <c r="G938" s="2">
        <v>62</v>
      </c>
      <c r="H938" s="2" t="s">
        <v>18</v>
      </c>
      <c r="I938" s="2">
        <v>1</v>
      </c>
      <c r="J938" s="2">
        <v>500</v>
      </c>
      <c r="K938" s="2">
        <v>500</v>
      </c>
      <c r="M938" s="2">
        <v>500</v>
      </c>
      <c r="N938" t="str" cm="1">
        <f t="array" ref="N938">IF(M938=Table5[[#This Row],[Total Amount]],"Correct",Check)</f>
        <v>Correct</v>
      </c>
    </row>
    <row r="939" spans="3:14" x14ac:dyDescent="0.25">
      <c r="C939" s="2">
        <v>938</v>
      </c>
      <c r="D939" s="10">
        <v>45249</v>
      </c>
      <c r="E939" s="2" t="s">
        <v>958</v>
      </c>
      <c r="F939" s="2" t="s">
        <v>17</v>
      </c>
      <c r="G939" s="2">
        <v>49</v>
      </c>
      <c r="H939" s="2" t="s">
        <v>21</v>
      </c>
      <c r="I939" s="2">
        <v>4</v>
      </c>
      <c r="J939" s="2">
        <v>50</v>
      </c>
      <c r="K939" s="2">
        <v>200</v>
      </c>
      <c r="M939" s="2">
        <v>200</v>
      </c>
      <c r="N939" t="str" cm="1">
        <f t="array" ref="N939">IF(M939=Table5[[#This Row],[Total Amount]],"Correct",Check)</f>
        <v>Correct</v>
      </c>
    </row>
    <row r="940" spans="3:14" x14ac:dyDescent="0.25">
      <c r="C940" s="2">
        <v>939</v>
      </c>
      <c r="D940" s="10">
        <v>45278</v>
      </c>
      <c r="E940" s="2" t="s">
        <v>959</v>
      </c>
      <c r="F940" s="2" t="s">
        <v>20</v>
      </c>
      <c r="G940" s="2">
        <v>46</v>
      </c>
      <c r="H940" s="2" t="s">
        <v>23</v>
      </c>
      <c r="I940" s="2">
        <v>1</v>
      </c>
      <c r="J940" s="2">
        <v>300</v>
      </c>
      <c r="K940" s="2">
        <v>300</v>
      </c>
      <c r="M940" s="2">
        <v>300</v>
      </c>
      <c r="N940" t="str" cm="1">
        <f t="array" ref="N940">IF(M940=Table5[[#This Row],[Total Amount]],"Correct",Check)</f>
        <v>Correct</v>
      </c>
    </row>
    <row r="941" spans="3:14" x14ac:dyDescent="0.25">
      <c r="C941" s="2">
        <v>940</v>
      </c>
      <c r="D941" s="10">
        <v>44954</v>
      </c>
      <c r="E941" s="2" t="s">
        <v>960</v>
      </c>
      <c r="F941" s="2" t="s">
        <v>20</v>
      </c>
      <c r="G941" s="2">
        <v>20</v>
      </c>
      <c r="H941" s="2" t="s">
        <v>23</v>
      </c>
      <c r="I941" s="2">
        <v>1</v>
      </c>
      <c r="J941" s="2">
        <v>30</v>
      </c>
      <c r="K941" s="2">
        <v>30</v>
      </c>
      <c r="M941" s="2">
        <v>30</v>
      </c>
      <c r="N941" t="str" cm="1">
        <f t="array" ref="N941">IF(M941=Table5[[#This Row],[Total Amount]],"Correct",Check)</f>
        <v>Correct</v>
      </c>
    </row>
    <row r="942" spans="3:14" x14ac:dyDescent="0.25">
      <c r="C942" s="2">
        <v>941</v>
      </c>
      <c r="D942" s="10">
        <v>45004</v>
      </c>
      <c r="E942" s="2" t="s">
        <v>961</v>
      </c>
      <c r="F942" s="2" t="s">
        <v>20</v>
      </c>
      <c r="G942" s="2">
        <v>57</v>
      </c>
      <c r="H942" s="2" t="s">
        <v>21</v>
      </c>
      <c r="I942" s="2">
        <v>2</v>
      </c>
      <c r="J942" s="2">
        <v>25</v>
      </c>
      <c r="K942" s="2">
        <v>50</v>
      </c>
      <c r="M942" s="2">
        <v>50</v>
      </c>
      <c r="N942" t="str" cm="1">
        <f t="array" ref="N942">IF(M942=Table5[[#This Row],[Total Amount]],"Correct",Check)</f>
        <v>Correct</v>
      </c>
    </row>
    <row r="943" spans="3:14" x14ac:dyDescent="0.25">
      <c r="C943" s="2">
        <v>942</v>
      </c>
      <c r="D943" s="10">
        <v>45003</v>
      </c>
      <c r="E943" s="2" t="s">
        <v>962</v>
      </c>
      <c r="F943" s="2" t="s">
        <v>17</v>
      </c>
      <c r="G943" s="2">
        <v>51</v>
      </c>
      <c r="H943" s="2" t="s">
        <v>21</v>
      </c>
      <c r="I943" s="2">
        <v>3</v>
      </c>
      <c r="J943" s="2">
        <v>500</v>
      </c>
      <c r="K943" s="2">
        <v>1500</v>
      </c>
      <c r="M943" s="2">
        <v>1500</v>
      </c>
      <c r="N943" t="str" cm="1">
        <f t="array" ref="N943">IF(M943=Table5[[#This Row],[Total Amount]],"Correct",Check)</f>
        <v>Correct</v>
      </c>
    </row>
    <row r="944" spans="3:14" x14ac:dyDescent="0.25">
      <c r="C944" s="2">
        <v>943</v>
      </c>
      <c r="D944" s="10">
        <v>45215</v>
      </c>
      <c r="E944" s="2" t="s">
        <v>963</v>
      </c>
      <c r="F944" s="2" t="s">
        <v>20</v>
      </c>
      <c r="G944" s="2">
        <v>57</v>
      </c>
      <c r="H944" s="2" t="s">
        <v>21</v>
      </c>
      <c r="I944" s="2">
        <v>4</v>
      </c>
      <c r="J944" s="2">
        <v>300</v>
      </c>
      <c r="K944" s="2">
        <v>1200</v>
      </c>
      <c r="M944" s="2">
        <v>1200</v>
      </c>
      <c r="N944" t="str" cm="1">
        <f t="array" ref="N944">IF(M944=Table5[[#This Row],[Total Amount]],"Correct",Check)</f>
        <v>Correct</v>
      </c>
    </row>
    <row r="945" spans="3:14" x14ac:dyDescent="0.25">
      <c r="C945" s="2">
        <v>944</v>
      </c>
      <c r="D945" s="10">
        <v>45082</v>
      </c>
      <c r="E945" s="2" t="s">
        <v>964</v>
      </c>
      <c r="F945" s="2" t="s">
        <v>17</v>
      </c>
      <c r="G945" s="2">
        <v>44</v>
      </c>
      <c r="H945" s="2" t="s">
        <v>21</v>
      </c>
      <c r="I945" s="2">
        <v>2</v>
      </c>
      <c r="J945" s="2">
        <v>25</v>
      </c>
      <c r="K945" s="2">
        <v>50</v>
      </c>
      <c r="M945" s="2">
        <v>50</v>
      </c>
      <c r="N945" t="str" cm="1">
        <f t="array" ref="N945">IF(M945=Table5[[#This Row],[Total Amount]],"Correct",Check)</f>
        <v>Correct</v>
      </c>
    </row>
    <row r="946" spans="3:14" x14ac:dyDescent="0.25">
      <c r="C946" s="2">
        <v>945</v>
      </c>
      <c r="D946" s="10">
        <v>44970</v>
      </c>
      <c r="E946" s="2" t="s">
        <v>965</v>
      </c>
      <c r="F946" s="2" t="s">
        <v>17</v>
      </c>
      <c r="G946" s="2">
        <v>30</v>
      </c>
      <c r="H946" s="2" t="s">
        <v>18</v>
      </c>
      <c r="I946" s="2">
        <v>1</v>
      </c>
      <c r="J946" s="2">
        <v>25</v>
      </c>
      <c r="K946" s="2">
        <v>25</v>
      </c>
      <c r="M946" s="2">
        <v>25</v>
      </c>
      <c r="N946" t="str" cm="1">
        <f t="array" ref="N946">IF(M946=Table5[[#This Row],[Total Amount]],"Correct",Check)</f>
        <v>Correct</v>
      </c>
    </row>
    <row r="947" spans="3:14" x14ac:dyDescent="0.25">
      <c r="C947" s="2">
        <v>946</v>
      </c>
      <c r="D947" s="10">
        <v>45054</v>
      </c>
      <c r="E947" s="2" t="s">
        <v>966</v>
      </c>
      <c r="F947" s="2" t="s">
        <v>17</v>
      </c>
      <c r="G947" s="2">
        <v>62</v>
      </c>
      <c r="H947" s="2" t="s">
        <v>23</v>
      </c>
      <c r="I947" s="2">
        <v>4</v>
      </c>
      <c r="J947" s="2">
        <v>500</v>
      </c>
      <c r="K947" s="2">
        <v>2000</v>
      </c>
      <c r="M947" s="2">
        <v>2000</v>
      </c>
      <c r="N947" t="str" cm="1">
        <f t="array" ref="N947">IF(M947=Table5[[#This Row],[Total Amount]],"Correct",Check)</f>
        <v>Correct</v>
      </c>
    </row>
    <row r="948" spans="3:14" x14ac:dyDescent="0.25">
      <c r="C948" s="2">
        <v>947</v>
      </c>
      <c r="D948" s="10">
        <v>44987</v>
      </c>
      <c r="E948" s="2" t="s">
        <v>967</v>
      </c>
      <c r="F948" s="2" t="s">
        <v>17</v>
      </c>
      <c r="G948" s="2">
        <v>50</v>
      </c>
      <c r="H948" s="2" t="s">
        <v>18</v>
      </c>
      <c r="I948" s="2">
        <v>1</v>
      </c>
      <c r="J948" s="2">
        <v>300</v>
      </c>
      <c r="K948" s="2">
        <v>300</v>
      </c>
      <c r="M948" s="2">
        <v>300</v>
      </c>
      <c r="N948" t="str" cm="1">
        <f t="array" ref="N948">IF(M948=Table5[[#This Row],[Total Amount]],"Correct",Check)</f>
        <v>Correct</v>
      </c>
    </row>
    <row r="949" spans="3:14" x14ac:dyDescent="0.25">
      <c r="C949" s="2">
        <v>948</v>
      </c>
      <c r="D949" s="10">
        <v>45212</v>
      </c>
      <c r="E949" s="2" t="s">
        <v>968</v>
      </c>
      <c r="F949" s="2" t="s">
        <v>20</v>
      </c>
      <c r="G949" s="2">
        <v>23</v>
      </c>
      <c r="H949" s="2" t="s">
        <v>23</v>
      </c>
      <c r="I949" s="2">
        <v>3</v>
      </c>
      <c r="J949" s="2">
        <v>25</v>
      </c>
      <c r="K949" s="2">
        <v>75</v>
      </c>
      <c r="M949" s="2">
        <v>75</v>
      </c>
      <c r="N949" t="str" cm="1">
        <f t="array" ref="N949">IF(M949=Table5[[#This Row],[Total Amount]],"Correct",Check)</f>
        <v>Correct</v>
      </c>
    </row>
    <row r="950" spans="3:14" x14ac:dyDescent="0.25">
      <c r="C950" s="2">
        <v>949</v>
      </c>
      <c r="D950" s="10">
        <v>45140</v>
      </c>
      <c r="E950" s="2" t="s">
        <v>969</v>
      </c>
      <c r="F950" s="2" t="s">
        <v>20</v>
      </c>
      <c r="G950" s="2">
        <v>41</v>
      </c>
      <c r="H950" s="2" t="s">
        <v>23</v>
      </c>
      <c r="I950" s="2">
        <v>2</v>
      </c>
      <c r="J950" s="2">
        <v>25</v>
      </c>
      <c r="K950" s="2">
        <v>50</v>
      </c>
      <c r="M950" s="2">
        <v>50</v>
      </c>
      <c r="N950" t="str" cm="1">
        <f t="array" ref="N950">IF(M950=Table5[[#This Row],[Total Amount]],"Correct",Check)</f>
        <v>Correct</v>
      </c>
    </row>
    <row r="951" spans="3:14" x14ac:dyDescent="0.25">
      <c r="C951" s="2">
        <v>950</v>
      </c>
      <c r="D951" s="10">
        <v>45237</v>
      </c>
      <c r="E951" s="2" t="s">
        <v>970</v>
      </c>
      <c r="F951" s="2" t="s">
        <v>17</v>
      </c>
      <c r="G951" s="2">
        <v>36</v>
      </c>
      <c r="H951" s="2" t="s">
        <v>21</v>
      </c>
      <c r="I951" s="2">
        <v>3</v>
      </c>
      <c r="J951" s="2">
        <v>300</v>
      </c>
      <c r="K951" s="2">
        <v>900</v>
      </c>
      <c r="M951" s="2">
        <v>900</v>
      </c>
      <c r="N951" t="str" cm="1">
        <f t="array" ref="N951">IF(M951=Table5[[#This Row],[Total Amount]],"Correct",Check)</f>
        <v>Correct</v>
      </c>
    </row>
    <row r="952" spans="3:14" x14ac:dyDescent="0.25">
      <c r="C952" s="2">
        <v>951</v>
      </c>
      <c r="D952" s="10">
        <v>45232</v>
      </c>
      <c r="E952" s="2" t="s">
        <v>971</v>
      </c>
      <c r="F952" s="2" t="s">
        <v>17</v>
      </c>
      <c r="G952" s="2">
        <v>33</v>
      </c>
      <c r="H952" s="2" t="s">
        <v>18</v>
      </c>
      <c r="I952" s="2">
        <v>2</v>
      </c>
      <c r="J952" s="2">
        <v>50</v>
      </c>
      <c r="K952" s="2">
        <v>100</v>
      </c>
      <c r="M952" s="2">
        <v>100</v>
      </c>
      <c r="N952" t="str" cm="1">
        <f t="array" ref="N952">IF(M952=Table5[[#This Row],[Total Amount]],"Correct",Check)</f>
        <v>Correct</v>
      </c>
    </row>
    <row r="953" spans="3:14" x14ac:dyDescent="0.25">
      <c r="C953" s="2">
        <v>952</v>
      </c>
      <c r="D953" s="10">
        <v>45243</v>
      </c>
      <c r="E953" s="2" t="s">
        <v>972</v>
      </c>
      <c r="F953" s="2" t="s">
        <v>20</v>
      </c>
      <c r="G953" s="2">
        <v>57</v>
      </c>
      <c r="H953" s="2" t="s">
        <v>21</v>
      </c>
      <c r="I953" s="2">
        <v>1</v>
      </c>
      <c r="J953" s="2">
        <v>25</v>
      </c>
      <c r="K953" s="2">
        <v>25</v>
      </c>
      <c r="M953" s="2">
        <v>25</v>
      </c>
      <c r="N953" t="str" cm="1">
        <f t="array" ref="N953">IF(M953=Table5[[#This Row],[Total Amount]],"Correct",Check)</f>
        <v>Correct</v>
      </c>
    </row>
    <row r="954" spans="3:14" x14ac:dyDescent="0.25">
      <c r="C954" s="2">
        <v>953</v>
      </c>
      <c r="D954" s="10">
        <v>45042</v>
      </c>
      <c r="E954" s="2" t="s">
        <v>973</v>
      </c>
      <c r="F954" s="2" t="s">
        <v>17</v>
      </c>
      <c r="G954" s="2">
        <v>45</v>
      </c>
      <c r="H954" s="2" t="s">
        <v>18</v>
      </c>
      <c r="I954" s="2">
        <v>3</v>
      </c>
      <c r="J954" s="2">
        <v>30</v>
      </c>
      <c r="K954" s="2">
        <v>90</v>
      </c>
      <c r="M954" s="2">
        <v>90</v>
      </c>
      <c r="N954" t="str" cm="1">
        <f t="array" ref="N954">IF(M954=Table5[[#This Row],[Total Amount]],"Correct",Check)</f>
        <v>Correct</v>
      </c>
    </row>
    <row r="955" spans="3:14" x14ac:dyDescent="0.25">
      <c r="C955" s="2">
        <v>954</v>
      </c>
      <c r="D955" s="10">
        <v>45194</v>
      </c>
      <c r="E955" s="2" t="s">
        <v>974</v>
      </c>
      <c r="F955" s="2" t="s">
        <v>20</v>
      </c>
      <c r="G955" s="2">
        <v>50</v>
      </c>
      <c r="H955" s="2" t="s">
        <v>23</v>
      </c>
      <c r="I955" s="2">
        <v>3</v>
      </c>
      <c r="J955" s="2">
        <v>300</v>
      </c>
      <c r="K955" s="2">
        <v>900</v>
      </c>
      <c r="M955" s="2">
        <v>900</v>
      </c>
      <c r="N955" t="str" cm="1">
        <f t="array" ref="N955">IF(M955=Table5[[#This Row],[Total Amount]],"Correct",Check)</f>
        <v>Correct</v>
      </c>
    </row>
    <row r="956" spans="3:14" x14ac:dyDescent="0.25">
      <c r="C956" s="2">
        <v>955</v>
      </c>
      <c r="D956" s="10">
        <v>45121</v>
      </c>
      <c r="E956" s="2" t="s">
        <v>975</v>
      </c>
      <c r="F956" s="2" t="s">
        <v>17</v>
      </c>
      <c r="G956" s="2">
        <v>58</v>
      </c>
      <c r="H956" s="2" t="s">
        <v>21</v>
      </c>
      <c r="I956" s="2">
        <v>1</v>
      </c>
      <c r="J956" s="2">
        <v>25</v>
      </c>
      <c r="K956" s="2">
        <v>25</v>
      </c>
      <c r="M956" s="2">
        <v>25</v>
      </c>
      <c r="N956" t="str" cm="1">
        <f t="array" ref="N956">IF(M956=Table5[[#This Row],[Total Amount]],"Correct",Check)</f>
        <v>Correct</v>
      </c>
    </row>
    <row r="957" spans="3:14" x14ac:dyDescent="0.25">
      <c r="C957" s="2">
        <v>956</v>
      </c>
      <c r="D957" s="10">
        <v>45157</v>
      </c>
      <c r="E957" s="2" t="s">
        <v>976</v>
      </c>
      <c r="F957" s="2" t="s">
        <v>17</v>
      </c>
      <c r="G957" s="2">
        <v>30</v>
      </c>
      <c r="H957" s="2" t="s">
        <v>21</v>
      </c>
      <c r="I957" s="2">
        <v>3</v>
      </c>
      <c r="J957" s="2">
        <v>500</v>
      </c>
      <c r="K957" s="2">
        <v>1500</v>
      </c>
      <c r="M957" s="2">
        <v>1500</v>
      </c>
      <c r="N957" t="str" cm="1">
        <f t="array" ref="N957">IF(M957=Table5[[#This Row],[Total Amount]],"Correct",Check)</f>
        <v>Correct</v>
      </c>
    </row>
    <row r="958" spans="3:14" x14ac:dyDescent="0.25">
      <c r="C958" s="2">
        <v>957</v>
      </c>
      <c r="D958" s="10">
        <v>45153</v>
      </c>
      <c r="E958" s="2" t="s">
        <v>977</v>
      </c>
      <c r="F958" s="2" t="s">
        <v>20</v>
      </c>
      <c r="G958" s="2">
        <v>60</v>
      </c>
      <c r="H958" s="2" t="s">
        <v>23</v>
      </c>
      <c r="I958" s="2">
        <v>4</v>
      </c>
      <c r="J958" s="2">
        <v>30</v>
      </c>
      <c r="K958" s="2">
        <v>120</v>
      </c>
      <c r="M958" s="2">
        <v>120</v>
      </c>
      <c r="N958" t="str" cm="1">
        <f t="array" ref="N958">IF(M958=Table5[[#This Row],[Total Amount]],"Correct",Check)</f>
        <v>Correct</v>
      </c>
    </row>
    <row r="959" spans="3:14" x14ac:dyDescent="0.25">
      <c r="C959" s="2">
        <v>958</v>
      </c>
      <c r="D959" s="10">
        <v>45079</v>
      </c>
      <c r="E959" s="2" t="s">
        <v>978</v>
      </c>
      <c r="F959" s="2" t="s">
        <v>17</v>
      </c>
      <c r="G959" s="2">
        <v>62</v>
      </c>
      <c r="H959" s="2" t="s">
        <v>23</v>
      </c>
      <c r="I959" s="2">
        <v>2</v>
      </c>
      <c r="J959" s="2">
        <v>25</v>
      </c>
      <c r="K959" s="2">
        <v>50</v>
      </c>
      <c r="M959" s="2">
        <v>50</v>
      </c>
      <c r="N959" t="str" cm="1">
        <f t="array" ref="N959">IF(M959=Table5[[#This Row],[Total Amount]],"Correct",Check)</f>
        <v>Correct</v>
      </c>
    </row>
    <row r="960" spans="3:14" x14ac:dyDescent="0.25">
      <c r="C960" s="2">
        <v>959</v>
      </c>
      <c r="D960" s="10">
        <v>45228</v>
      </c>
      <c r="E960" s="2" t="s">
        <v>979</v>
      </c>
      <c r="F960" s="2" t="s">
        <v>20</v>
      </c>
      <c r="G960" s="2">
        <v>42</v>
      </c>
      <c r="H960" s="2" t="s">
        <v>23</v>
      </c>
      <c r="I960" s="2">
        <v>2</v>
      </c>
      <c r="J960" s="2">
        <v>30</v>
      </c>
      <c r="K960" s="2">
        <v>60</v>
      </c>
      <c r="M960" s="2">
        <v>60</v>
      </c>
      <c r="N960" t="str" cm="1">
        <f t="array" ref="N960">IF(M960=Table5[[#This Row],[Total Amount]],"Correct",Check)</f>
        <v>Correct</v>
      </c>
    </row>
    <row r="961" spans="3:14" x14ac:dyDescent="0.25">
      <c r="C961" s="2">
        <v>960</v>
      </c>
      <c r="D961" s="10">
        <v>45146</v>
      </c>
      <c r="E961" s="2" t="s">
        <v>980</v>
      </c>
      <c r="F961" s="2" t="s">
        <v>17</v>
      </c>
      <c r="G961" s="2">
        <v>59</v>
      </c>
      <c r="H961" s="2" t="s">
        <v>21</v>
      </c>
      <c r="I961" s="2">
        <v>2</v>
      </c>
      <c r="J961" s="2">
        <v>30</v>
      </c>
      <c r="K961" s="2">
        <v>60</v>
      </c>
      <c r="M961" s="2">
        <v>60</v>
      </c>
      <c r="N961" t="str" cm="1">
        <f t="array" ref="N961">IF(M961=Table5[[#This Row],[Total Amount]],"Correct",Check)</f>
        <v>Correct</v>
      </c>
    </row>
    <row r="962" spans="3:14" x14ac:dyDescent="0.25">
      <c r="C962" s="2">
        <v>961</v>
      </c>
      <c r="D962" s="10">
        <v>45083</v>
      </c>
      <c r="E962" s="2" t="s">
        <v>981</v>
      </c>
      <c r="F962" s="2" t="s">
        <v>17</v>
      </c>
      <c r="G962" s="2">
        <v>53</v>
      </c>
      <c r="H962" s="2" t="s">
        <v>18</v>
      </c>
      <c r="I962" s="2">
        <v>4</v>
      </c>
      <c r="J962" s="2">
        <v>50</v>
      </c>
      <c r="K962" s="2">
        <v>200</v>
      </c>
      <c r="M962" s="2">
        <v>200</v>
      </c>
      <c r="N962" t="str" cm="1">
        <f t="array" ref="N962">IF(M962=Table5[[#This Row],[Total Amount]],"Correct",Check)</f>
        <v>Correct</v>
      </c>
    </row>
    <row r="963" spans="3:14" x14ac:dyDescent="0.25">
      <c r="C963" s="2">
        <v>962</v>
      </c>
      <c r="D963" s="10">
        <v>45218</v>
      </c>
      <c r="E963" s="2" t="s">
        <v>982</v>
      </c>
      <c r="F963" s="2" t="s">
        <v>17</v>
      </c>
      <c r="G963" s="2">
        <v>44</v>
      </c>
      <c r="H963" s="2" t="s">
        <v>21</v>
      </c>
      <c r="I963" s="2">
        <v>2</v>
      </c>
      <c r="J963" s="2">
        <v>30</v>
      </c>
      <c r="K963" s="2">
        <v>60</v>
      </c>
      <c r="M963" s="2">
        <v>60</v>
      </c>
      <c r="N963" t="str" cm="1">
        <f t="array" ref="N963">IF(M963=Table5[[#This Row],[Total Amount]],"Correct",Check)</f>
        <v>Correct</v>
      </c>
    </row>
    <row r="964" spans="3:14" x14ac:dyDescent="0.25">
      <c r="C964" s="2">
        <v>963</v>
      </c>
      <c r="D964" s="10">
        <v>45244</v>
      </c>
      <c r="E964" s="2" t="s">
        <v>983</v>
      </c>
      <c r="F964" s="2" t="s">
        <v>20</v>
      </c>
      <c r="G964" s="2">
        <v>55</v>
      </c>
      <c r="H964" s="2" t="s">
        <v>18</v>
      </c>
      <c r="I964" s="2">
        <v>1</v>
      </c>
      <c r="J964" s="2">
        <v>50</v>
      </c>
      <c r="K964" s="2">
        <v>50</v>
      </c>
      <c r="M964" s="2">
        <v>50</v>
      </c>
      <c r="N964" t="str" cm="1">
        <f t="array" ref="N964">IF(M964=Table5[[#This Row],[Total Amount]],"Correct",Check)</f>
        <v>Correct</v>
      </c>
    </row>
    <row r="965" spans="3:14" x14ac:dyDescent="0.25">
      <c r="C965" s="2">
        <v>964</v>
      </c>
      <c r="D965" s="10">
        <v>44957</v>
      </c>
      <c r="E965" s="2" t="s">
        <v>984</v>
      </c>
      <c r="F965" s="2" t="s">
        <v>17</v>
      </c>
      <c r="G965" s="2">
        <v>24</v>
      </c>
      <c r="H965" s="2" t="s">
        <v>21</v>
      </c>
      <c r="I965" s="2">
        <v>3</v>
      </c>
      <c r="J965" s="2">
        <v>300</v>
      </c>
      <c r="K965" s="2">
        <v>900</v>
      </c>
      <c r="M965" s="2">
        <v>900</v>
      </c>
      <c r="N965" t="str" cm="1">
        <f t="array" ref="N965">IF(M965=Table5[[#This Row],[Total Amount]],"Correct",Check)</f>
        <v>Correct</v>
      </c>
    </row>
    <row r="966" spans="3:14" x14ac:dyDescent="0.25">
      <c r="C966" s="2">
        <v>965</v>
      </c>
      <c r="D966" s="10">
        <v>45239</v>
      </c>
      <c r="E966" s="2" t="s">
        <v>985</v>
      </c>
      <c r="F966" s="2" t="s">
        <v>17</v>
      </c>
      <c r="G966" s="2">
        <v>22</v>
      </c>
      <c r="H966" s="2" t="s">
        <v>21</v>
      </c>
      <c r="I966" s="2">
        <v>4</v>
      </c>
      <c r="J966" s="2">
        <v>50</v>
      </c>
      <c r="K966" s="2">
        <v>200</v>
      </c>
      <c r="M966" s="2">
        <v>200</v>
      </c>
      <c r="N966" t="str" cm="1">
        <f t="array" ref="N966">IF(M966=Table5[[#This Row],[Total Amount]],"Correct",Check)</f>
        <v>Correct</v>
      </c>
    </row>
    <row r="967" spans="3:14" x14ac:dyDescent="0.25">
      <c r="C967" s="2">
        <v>966</v>
      </c>
      <c r="D967" s="10">
        <v>44977</v>
      </c>
      <c r="E967" s="2" t="s">
        <v>986</v>
      </c>
      <c r="F967" s="2" t="s">
        <v>17</v>
      </c>
      <c r="G967" s="2">
        <v>60</v>
      </c>
      <c r="H967" s="2" t="s">
        <v>23</v>
      </c>
      <c r="I967" s="2">
        <v>2</v>
      </c>
      <c r="J967" s="2">
        <v>500</v>
      </c>
      <c r="K967" s="2">
        <v>1000</v>
      </c>
      <c r="M967" s="2">
        <v>1000</v>
      </c>
      <c r="N967" t="str" cm="1">
        <f t="array" ref="N967">IF(M967=Table5[[#This Row],[Total Amount]],"Correct",Check)</f>
        <v>Correct</v>
      </c>
    </row>
    <row r="968" spans="3:14" x14ac:dyDescent="0.25">
      <c r="C968" s="2">
        <v>967</v>
      </c>
      <c r="D968" s="10">
        <v>45033</v>
      </c>
      <c r="E968" s="2" t="s">
        <v>987</v>
      </c>
      <c r="F968" s="2" t="s">
        <v>17</v>
      </c>
      <c r="G968" s="2">
        <v>62</v>
      </c>
      <c r="H968" s="2" t="s">
        <v>18</v>
      </c>
      <c r="I968" s="2">
        <v>1</v>
      </c>
      <c r="J968" s="2">
        <v>25</v>
      </c>
      <c r="K968" s="2">
        <v>25</v>
      </c>
      <c r="M968" s="2">
        <v>25</v>
      </c>
      <c r="N968" t="str" cm="1">
        <f t="array" ref="N968">IF(M968=Table5[[#This Row],[Total Amount]],"Correct",Check)</f>
        <v>Correct</v>
      </c>
    </row>
    <row r="969" spans="3:14" x14ac:dyDescent="0.25">
      <c r="C969" s="2">
        <v>968</v>
      </c>
      <c r="D969" s="10">
        <v>45247</v>
      </c>
      <c r="E969" s="2" t="s">
        <v>988</v>
      </c>
      <c r="F969" s="2" t="s">
        <v>20</v>
      </c>
      <c r="G969" s="2">
        <v>48</v>
      </c>
      <c r="H969" s="2" t="s">
        <v>21</v>
      </c>
      <c r="I969" s="2">
        <v>3</v>
      </c>
      <c r="J969" s="2">
        <v>300</v>
      </c>
      <c r="K969" s="2">
        <v>900</v>
      </c>
      <c r="M969" s="2">
        <v>900</v>
      </c>
      <c r="N969" t="str" cm="1">
        <f t="array" ref="N969">IF(M969=Table5[[#This Row],[Total Amount]],"Correct",Check)</f>
        <v>Correct</v>
      </c>
    </row>
    <row r="970" spans="3:14" x14ac:dyDescent="0.25">
      <c r="C970" s="2">
        <v>969</v>
      </c>
      <c r="D970" s="10">
        <v>45035</v>
      </c>
      <c r="E970" s="2" t="s">
        <v>989</v>
      </c>
      <c r="F970" s="2" t="s">
        <v>20</v>
      </c>
      <c r="G970" s="2">
        <v>40</v>
      </c>
      <c r="H970" s="2" t="s">
        <v>21</v>
      </c>
      <c r="I970" s="2">
        <v>3</v>
      </c>
      <c r="J970" s="2">
        <v>300</v>
      </c>
      <c r="K970" s="2">
        <v>900</v>
      </c>
      <c r="M970" s="2">
        <v>900</v>
      </c>
      <c r="N970" t="str" cm="1">
        <f t="array" ref="N970">IF(M970=Table5[[#This Row],[Total Amount]],"Correct",Check)</f>
        <v>Correct</v>
      </c>
    </row>
    <row r="971" spans="3:14" x14ac:dyDescent="0.25">
      <c r="C971" s="2">
        <v>970</v>
      </c>
      <c r="D971" s="10">
        <v>45062</v>
      </c>
      <c r="E971" s="2" t="s">
        <v>990</v>
      </c>
      <c r="F971" s="2" t="s">
        <v>17</v>
      </c>
      <c r="G971" s="2">
        <v>59</v>
      </c>
      <c r="H971" s="2" t="s">
        <v>23</v>
      </c>
      <c r="I971" s="2">
        <v>4</v>
      </c>
      <c r="J971" s="2">
        <v>500</v>
      </c>
      <c r="K971" s="2">
        <v>2000</v>
      </c>
      <c r="M971" s="2">
        <v>2000</v>
      </c>
      <c r="N971" t="str" cm="1">
        <f t="array" ref="N971">IF(M971=Table5[[#This Row],[Total Amount]],"Correct",Check)</f>
        <v>Correct</v>
      </c>
    </row>
    <row r="972" spans="3:14" x14ac:dyDescent="0.25">
      <c r="C972" s="2">
        <v>971</v>
      </c>
      <c r="D972" s="10">
        <v>45265</v>
      </c>
      <c r="E972" s="2" t="s">
        <v>991</v>
      </c>
      <c r="F972" s="2" t="s">
        <v>20</v>
      </c>
      <c r="G972" s="2">
        <v>27</v>
      </c>
      <c r="H972" s="2" t="s">
        <v>23</v>
      </c>
      <c r="I972" s="2">
        <v>4</v>
      </c>
      <c r="J972" s="2">
        <v>50</v>
      </c>
      <c r="K972" s="2">
        <v>200</v>
      </c>
      <c r="M972" s="2">
        <v>200</v>
      </c>
      <c r="N972" t="str" cm="1">
        <f t="array" ref="N972">IF(M972=Table5[[#This Row],[Total Amount]],"Correct",Check)</f>
        <v>Correct</v>
      </c>
    </row>
    <row r="973" spans="3:14" x14ac:dyDescent="0.25">
      <c r="C973" s="2">
        <v>972</v>
      </c>
      <c r="D973" s="10">
        <v>44968</v>
      </c>
      <c r="E973" s="2" t="s">
        <v>992</v>
      </c>
      <c r="F973" s="2" t="s">
        <v>17</v>
      </c>
      <c r="G973" s="2">
        <v>49</v>
      </c>
      <c r="H973" s="2" t="s">
        <v>18</v>
      </c>
      <c r="I973" s="2">
        <v>4</v>
      </c>
      <c r="J973" s="2">
        <v>25</v>
      </c>
      <c r="K973" s="2">
        <v>100</v>
      </c>
      <c r="M973" s="2">
        <v>100</v>
      </c>
      <c r="N973" t="str" cm="1">
        <f t="array" ref="N973">IF(M973=Table5[[#This Row],[Total Amount]],"Correct",Check)</f>
        <v>Correct</v>
      </c>
    </row>
    <row r="974" spans="3:14" x14ac:dyDescent="0.25">
      <c r="C974" s="2">
        <v>973</v>
      </c>
      <c r="D974" s="10">
        <v>45007</v>
      </c>
      <c r="E974" s="2" t="s">
        <v>993</v>
      </c>
      <c r="F974" s="2" t="s">
        <v>17</v>
      </c>
      <c r="G974" s="2">
        <v>60</v>
      </c>
      <c r="H974" s="2" t="s">
        <v>21</v>
      </c>
      <c r="I974" s="2">
        <v>1</v>
      </c>
      <c r="J974" s="2">
        <v>50</v>
      </c>
      <c r="K974" s="2">
        <v>50</v>
      </c>
      <c r="M974" s="2">
        <v>50</v>
      </c>
      <c r="N974" t="str" cm="1">
        <f t="array" ref="N974">IF(M974=Table5[[#This Row],[Total Amount]],"Correct",Check)</f>
        <v>Correct</v>
      </c>
    </row>
    <row r="975" spans="3:14" x14ac:dyDescent="0.25">
      <c r="C975" s="2">
        <v>974</v>
      </c>
      <c r="D975" s="10">
        <v>45049</v>
      </c>
      <c r="E975" s="2" t="s">
        <v>994</v>
      </c>
      <c r="F975" s="2" t="s">
        <v>17</v>
      </c>
      <c r="G975" s="2">
        <v>47</v>
      </c>
      <c r="H975" s="2" t="s">
        <v>18</v>
      </c>
      <c r="I975" s="2">
        <v>1</v>
      </c>
      <c r="J975" s="2">
        <v>30</v>
      </c>
      <c r="K975" s="2">
        <v>30</v>
      </c>
      <c r="M975" s="2">
        <v>30</v>
      </c>
      <c r="N975" t="str" cm="1">
        <f t="array" ref="N975">IF(M975=Table5[[#This Row],[Total Amount]],"Correct",Check)</f>
        <v>Correct</v>
      </c>
    </row>
    <row r="976" spans="3:14" x14ac:dyDescent="0.25">
      <c r="C976" s="2">
        <v>975</v>
      </c>
      <c r="D976" s="10">
        <v>45015</v>
      </c>
      <c r="E976" s="2" t="s">
        <v>995</v>
      </c>
      <c r="F976" s="2" t="s">
        <v>20</v>
      </c>
      <c r="G976" s="2">
        <v>56</v>
      </c>
      <c r="H976" s="2" t="s">
        <v>21</v>
      </c>
      <c r="I976" s="2">
        <v>4</v>
      </c>
      <c r="J976" s="2">
        <v>50</v>
      </c>
      <c r="K976" s="2">
        <v>200</v>
      </c>
      <c r="M976" s="2">
        <v>200</v>
      </c>
      <c r="N976" t="str" cm="1">
        <f t="array" ref="N976">IF(M976=Table5[[#This Row],[Total Amount]],"Correct",Check)</f>
        <v>Correct</v>
      </c>
    </row>
    <row r="977" spans="3:14" x14ac:dyDescent="0.25">
      <c r="C977" s="2">
        <v>976</v>
      </c>
      <c r="D977" s="10">
        <v>45209</v>
      </c>
      <c r="E977" s="2" t="s">
        <v>996</v>
      </c>
      <c r="F977" s="2" t="s">
        <v>20</v>
      </c>
      <c r="G977" s="2">
        <v>48</v>
      </c>
      <c r="H977" s="2" t="s">
        <v>18</v>
      </c>
      <c r="I977" s="2">
        <v>2</v>
      </c>
      <c r="J977" s="2">
        <v>300</v>
      </c>
      <c r="K977" s="2">
        <v>600</v>
      </c>
      <c r="M977" s="2">
        <v>600</v>
      </c>
      <c r="N977" t="str" cm="1">
        <f t="array" ref="N977">IF(M977=Table5[[#This Row],[Total Amount]],"Correct",Check)</f>
        <v>Correct</v>
      </c>
    </row>
    <row r="978" spans="3:14" x14ac:dyDescent="0.25">
      <c r="C978" s="2">
        <v>977</v>
      </c>
      <c r="D978" s="10">
        <v>44965</v>
      </c>
      <c r="E978" s="2" t="s">
        <v>997</v>
      </c>
      <c r="F978" s="2" t="s">
        <v>20</v>
      </c>
      <c r="G978" s="2">
        <v>35</v>
      </c>
      <c r="H978" s="2" t="s">
        <v>23</v>
      </c>
      <c r="I978" s="2">
        <v>3</v>
      </c>
      <c r="J978" s="2">
        <v>25</v>
      </c>
      <c r="K978" s="2">
        <v>75</v>
      </c>
      <c r="M978" s="2">
        <v>75</v>
      </c>
      <c r="N978" t="str" cm="1">
        <f t="array" ref="N978">IF(M978=Table5[[#This Row],[Total Amount]],"Correct",Check)</f>
        <v>Correct</v>
      </c>
    </row>
    <row r="979" spans="3:14" x14ac:dyDescent="0.25">
      <c r="C979" s="2">
        <v>978</v>
      </c>
      <c r="D979" s="10">
        <v>45007</v>
      </c>
      <c r="E979" s="2" t="s">
        <v>998</v>
      </c>
      <c r="F979" s="2" t="s">
        <v>20</v>
      </c>
      <c r="G979" s="2">
        <v>53</v>
      </c>
      <c r="H979" s="2" t="s">
        <v>21</v>
      </c>
      <c r="I979" s="2">
        <v>3</v>
      </c>
      <c r="J979" s="2">
        <v>50</v>
      </c>
      <c r="K979" s="2">
        <v>150</v>
      </c>
      <c r="M979" s="2">
        <v>150</v>
      </c>
      <c r="N979" t="str" cm="1">
        <f t="array" ref="N979">IF(M979=Table5[[#This Row],[Total Amount]],"Correct",Check)</f>
        <v>Correct</v>
      </c>
    </row>
    <row r="980" spans="3:14" x14ac:dyDescent="0.25">
      <c r="C980" s="2">
        <v>979</v>
      </c>
      <c r="D980" s="10">
        <v>44928</v>
      </c>
      <c r="E980" s="2" t="s">
        <v>999</v>
      </c>
      <c r="F980" s="2" t="s">
        <v>20</v>
      </c>
      <c r="G980" s="2">
        <v>19</v>
      </c>
      <c r="H980" s="2" t="s">
        <v>18</v>
      </c>
      <c r="I980" s="2">
        <v>1</v>
      </c>
      <c r="J980" s="2">
        <v>25</v>
      </c>
      <c r="K980" s="2">
        <v>25</v>
      </c>
      <c r="M980" s="2">
        <v>25</v>
      </c>
      <c r="N980" t="str" cm="1">
        <f t="array" ref="N980">IF(M980=Table5[[#This Row],[Total Amount]],"Correct",Check)</f>
        <v>Correct</v>
      </c>
    </row>
    <row r="981" spans="3:14" x14ac:dyDescent="0.25">
      <c r="C981" s="2">
        <v>980</v>
      </c>
      <c r="D981" s="10">
        <v>45136</v>
      </c>
      <c r="E981" s="2" t="s">
        <v>1000</v>
      </c>
      <c r="F981" s="2" t="s">
        <v>20</v>
      </c>
      <c r="G981" s="2">
        <v>31</v>
      </c>
      <c r="H981" s="2" t="s">
        <v>23</v>
      </c>
      <c r="I981" s="2">
        <v>3</v>
      </c>
      <c r="J981" s="2">
        <v>25</v>
      </c>
      <c r="K981" s="2">
        <v>75</v>
      </c>
      <c r="M981" s="2">
        <v>75</v>
      </c>
      <c r="N981" t="str" cm="1">
        <f t="array" ref="N981">IF(M981=Table5[[#This Row],[Total Amount]],"Correct",Check)</f>
        <v>Correct</v>
      </c>
    </row>
    <row r="982" spans="3:14" x14ac:dyDescent="0.25">
      <c r="C982" s="2">
        <v>981</v>
      </c>
      <c r="D982" s="10">
        <v>45157</v>
      </c>
      <c r="E982" s="2" t="s">
        <v>1001</v>
      </c>
      <c r="F982" s="2" t="s">
        <v>20</v>
      </c>
      <c r="G982" s="2">
        <v>30</v>
      </c>
      <c r="H982" s="2" t="s">
        <v>23</v>
      </c>
      <c r="I982" s="2">
        <v>2</v>
      </c>
      <c r="J982" s="2">
        <v>30</v>
      </c>
      <c r="K982" s="2">
        <v>60</v>
      </c>
      <c r="M982" s="2">
        <v>60</v>
      </c>
      <c r="N982" t="str" cm="1">
        <f t="array" ref="N982">IF(M982=Table5[[#This Row],[Total Amount]],"Correct",Check)</f>
        <v>Correct</v>
      </c>
    </row>
    <row r="983" spans="3:14" x14ac:dyDescent="0.25">
      <c r="C983" s="2">
        <v>982</v>
      </c>
      <c r="D983" s="10">
        <v>45279</v>
      </c>
      <c r="E983" s="2" t="s">
        <v>1002</v>
      </c>
      <c r="F983" s="2" t="s">
        <v>20</v>
      </c>
      <c r="G983" s="2">
        <v>46</v>
      </c>
      <c r="H983" s="2" t="s">
        <v>18</v>
      </c>
      <c r="I983" s="2">
        <v>3</v>
      </c>
      <c r="J983" s="2">
        <v>30</v>
      </c>
      <c r="K983" s="2">
        <v>90</v>
      </c>
      <c r="M983" s="2">
        <v>90</v>
      </c>
      <c r="N983" t="str" cm="1">
        <f t="array" ref="N983">IF(M983=Table5[[#This Row],[Total Amount]],"Correct",Check)</f>
        <v>Correct</v>
      </c>
    </row>
    <row r="984" spans="3:14" x14ac:dyDescent="0.25">
      <c r="C984" s="2">
        <v>983</v>
      </c>
      <c r="D984" s="10">
        <v>45231</v>
      </c>
      <c r="E984" s="2" t="s">
        <v>1003</v>
      </c>
      <c r="F984" s="2" t="s">
        <v>20</v>
      </c>
      <c r="G984" s="2">
        <v>29</v>
      </c>
      <c r="H984" s="2" t="s">
        <v>21</v>
      </c>
      <c r="I984" s="2">
        <v>1</v>
      </c>
      <c r="J984" s="2">
        <v>300</v>
      </c>
      <c r="K984" s="2">
        <v>300</v>
      </c>
      <c r="M984" s="2">
        <v>300</v>
      </c>
      <c r="N984" t="str" cm="1">
        <f t="array" ref="N984">IF(M984=Table5[[#This Row],[Total Amount]],"Correct",Check)</f>
        <v>Correct</v>
      </c>
    </row>
    <row r="985" spans="3:14" x14ac:dyDescent="0.25">
      <c r="C985" s="2">
        <v>984</v>
      </c>
      <c r="D985" s="10">
        <v>45167</v>
      </c>
      <c r="E985" s="2" t="s">
        <v>1004</v>
      </c>
      <c r="F985" s="2" t="s">
        <v>17</v>
      </c>
      <c r="G985" s="2">
        <v>56</v>
      </c>
      <c r="H985" s="2" t="s">
        <v>21</v>
      </c>
      <c r="I985" s="2">
        <v>1</v>
      </c>
      <c r="J985" s="2">
        <v>500</v>
      </c>
      <c r="K985" s="2">
        <v>500</v>
      </c>
      <c r="M985" s="2">
        <v>500</v>
      </c>
      <c r="N985" t="str" cm="1">
        <f t="array" ref="N985">IF(M985=Table5[[#This Row],[Total Amount]],"Correct",Check)</f>
        <v>Correct</v>
      </c>
    </row>
    <row r="986" spans="3:14" x14ac:dyDescent="0.25">
      <c r="C986" s="2">
        <v>985</v>
      </c>
      <c r="D986" s="10">
        <v>45076</v>
      </c>
      <c r="E986" s="2" t="s">
        <v>1005</v>
      </c>
      <c r="F986" s="2" t="s">
        <v>20</v>
      </c>
      <c r="G986" s="2">
        <v>19</v>
      </c>
      <c r="H986" s="2" t="s">
        <v>23</v>
      </c>
      <c r="I986" s="2">
        <v>2</v>
      </c>
      <c r="J986" s="2">
        <v>25</v>
      </c>
      <c r="K986" s="2">
        <v>50</v>
      </c>
      <c r="M986" s="2">
        <v>50</v>
      </c>
      <c r="N986" t="str" cm="1">
        <f t="array" ref="N986">IF(M986=Table5[[#This Row],[Total Amount]],"Correct",Check)</f>
        <v>Correct</v>
      </c>
    </row>
    <row r="987" spans="3:14" x14ac:dyDescent="0.25">
      <c r="C987" s="2">
        <v>986</v>
      </c>
      <c r="D987" s="10">
        <v>44943</v>
      </c>
      <c r="E987" s="2" t="s">
        <v>1006</v>
      </c>
      <c r="F987" s="2" t="s">
        <v>20</v>
      </c>
      <c r="G987" s="2">
        <v>49</v>
      </c>
      <c r="H987" s="2" t="s">
        <v>21</v>
      </c>
      <c r="I987" s="2">
        <v>2</v>
      </c>
      <c r="J987" s="2">
        <v>500</v>
      </c>
      <c r="K987" s="2">
        <v>1000</v>
      </c>
      <c r="M987" s="2">
        <v>1000</v>
      </c>
      <c r="N987" t="str" cm="1">
        <f t="array" ref="N987">IF(M987=Table5[[#This Row],[Total Amount]],"Correct",Check)</f>
        <v>Correct</v>
      </c>
    </row>
    <row r="988" spans="3:14" x14ac:dyDescent="0.25">
      <c r="C988" s="2">
        <v>987</v>
      </c>
      <c r="D988" s="10">
        <v>45045</v>
      </c>
      <c r="E988" s="2" t="s">
        <v>1007</v>
      </c>
      <c r="F988" s="2" t="s">
        <v>20</v>
      </c>
      <c r="G988" s="2">
        <v>30</v>
      </c>
      <c r="H988" s="2" t="s">
        <v>21</v>
      </c>
      <c r="I988" s="2">
        <v>3</v>
      </c>
      <c r="J988" s="2">
        <v>300</v>
      </c>
      <c r="K988" s="2">
        <v>900</v>
      </c>
      <c r="M988" s="2">
        <v>900</v>
      </c>
      <c r="N988" t="str" cm="1">
        <f t="array" ref="N988">IF(M988=Table5[[#This Row],[Total Amount]],"Correct",Check)</f>
        <v>Correct</v>
      </c>
    </row>
    <row r="989" spans="3:14" x14ac:dyDescent="0.25">
      <c r="C989" s="2">
        <v>988</v>
      </c>
      <c r="D989" s="10">
        <v>45074</v>
      </c>
      <c r="E989" s="2" t="s">
        <v>1008</v>
      </c>
      <c r="F989" s="2" t="s">
        <v>20</v>
      </c>
      <c r="G989" s="2">
        <v>63</v>
      </c>
      <c r="H989" s="2" t="s">
        <v>21</v>
      </c>
      <c r="I989" s="2">
        <v>3</v>
      </c>
      <c r="J989" s="2">
        <v>25</v>
      </c>
      <c r="K989" s="2">
        <v>75</v>
      </c>
      <c r="M989" s="2">
        <v>75</v>
      </c>
      <c r="N989" t="str" cm="1">
        <f t="array" ref="N989">IF(M989=Table5[[#This Row],[Total Amount]],"Correct",Check)</f>
        <v>Correct</v>
      </c>
    </row>
    <row r="990" spans="3:14" x14ac:dyDescent="0.25">
      <c r="C990" s="2">
        <v>989</v>
      </c>
      <c r="D990" s="10">
        <v>45288</v>
      </c>
      <c r="E990" s="2" t="s">
        <v>1009</v>
      </c>
      <c r="F990" s="2" t="s">
        <v>20</v>
      </c>
      <c r="G990" s="2">
        <v>44</v>
      </c>
      <c r="H990" s="2" t="s">
        <v>23</v>
      </c>
      <c r="I990" s="2">
        <v>1</v>
      </c>
      <c r="J990" s="2">
        <v>25</v>
      </c>
      <c r="K990" s="2">
        <v>25</v>
      </c>
      <c r="M990" s="2">
        <v>25</v>
      </c>
      <c r="N990" t="str" cm="1">
        <f t="array" ref="N990">IF(M990=Table5[[#This Row],[Total Amount]],"Correct",Check)</f>
        <v>Correct</v>
      </c>
    </row>
    <row r="991" spans="3:14" x14ac:dyDescent="0.25">
      <c r="C991" s="2">
        <v>990</v>
      </c>
      <c r="D991" s="10">
        <v>45071</v>
      </c>
      <c r="E991" s="2" t="s">
        <v>1010</v>
      </c>
      <c r="F991" s="2" t="s">
        <v>20</v>
      </c>
      <c r="G991" s="2">
        <v>58</v>
      </c>
      <c r="H991" s="2" t="s">
        <v>18</v>
      </c>
      <c r="I991" s="2">
        <v>2</v>
      </c>
      <c r="J991" s="2">
        <v>500</v>
      </c>
      <c r="K991" s="2">
        <v>1000</v>
      </c>
      <c r="M991" s="2">
        <v>1000</v>
      </c>
      <c r="N991" t="str" cm="1">
        <f t="array" ref="N991">IF(M991=Table5[[#This Row],[Total Amount]],"Correct",Check)</f>
        <v>Correct</v>
      </c>
    </row>
    <row r="992" spans="3:14" x14ac:dyDescent="0.25">
      <c r="C992" s="2">
        <v>991</v>
      </c>
      <c r="D992" s="10">
        <v>45286</v>
      </c>
      <c r="E992" s="2" t="s">
        <v>1011</v>
      </c>
      <c r="F992" s="2" t="s">
        <v>20</v>
      </c>
      <c r="G992" s="2">
        <v>34</v>
      </c>
      <c r="H992" s="2" t="s">
        <v>21</v>
      </c>
      <c r="I992" s="2">
        <v>2</v>
      </c>
      <c r="J992" s="2">
        <v>50</v>
      </c>
      <c r="K992" s="2">
        <v>100</v>
      </c>
      <c r="M992" s="2">
        <v>100</v>
      </c>
      <c r="N992" t="str" cm="1">
        <f t="array" ref="N992">IF(M992=Table5[[#This Row],[Total Amount]],"Correct",Check)</f>
        <v>Correct</v>
      </c>
    </row>
    <row r="993" spans="3:14" x14ac:dyDescent="0.25">
      <c r="C993" s="2">
        <v>992</v>
      </c>
      <c r="D993" s="10">
        <v>45159</v>
      </c>
      <c r="E993" s="2" t="s">
        <v>1012</v>
      </c>
      <c r="F993" s="2" t="s">
        <v>20</v>
      </c>
      <c r="G993" s="2">
        <v>57</v>
      </c>
      <c r="H993" s="2" t="s">
        <v>23</v>
      </c>
      <c r="I993" s="2">
        <v>2</v>
      </c>
      <c r="J993" s="2">
        <v>30</v>
      </c>
      <c r="K993" s="2">
        <v>60</v>
      </c>
      <c r="M993" s="2">
        <v>60</v>
      </c>
      <c r="N993" t="str" cm="1">
        <f t="array" ref="N993">IF(M993=Table5[[#This Row],[Total Amount]],"Correct",Check)</f>
        <v>Correct</v>
      </c>
    </row>
    <row r="994" spans="3:14" x14ac:dyDescent="0.25">
      <c r="C994" s="2">
        <v>993</v>
      </c>
      <c r="D994" s="10">
        <v>44963</v>
      </c>
      <c r="E994" s="2" t="s">
        <v>1013</v>
      </c>
      <c r="F994" s="2" t="s">
        <v>20</v>
      </c>
      <c r="G994" s="2">
        <v>48</v>
      </c>
      <c r="H994" s="2" t="s">
        <v>23</v>
      </c>
      <c r="I994" s="2">
        <v>3</v>
      </c>
      <c r="J994" s="2">
        <v>50</v>
      </c>
      <c r="K994" s="2">
        <v>150</v>
      </c>
      <c r="M994" s="2">
        <v>150</v>
      </c>
      <c r="N994" t="str" cm="1">
        <f t="array" ref="N994">IF(M994=Table5[[#This Row],[Total Amount]],"Correct",Check)</f>
        <v>Correct</v>
      </c>
    </row>
    <row r="995" spans="3:14" x14ac:dyDescent="0.25">
      <c r="C995" s="2">
        <v>994</v>
      </c>
      <c r="D995" s="10">
        <v>45278</v>
      </c>
      <c r="E995" s="2" t="s">
        <v>1014</v>
      </c>
      <c r="F995" s="2" t="s">
        <v>20</v>
      </c>
      <c r="G995" s="2">
        <v>51</v>
      </c>
      <c r="H995" s="2" t="s">
        <v>18</v>
      </c>
      <c r="I995" s="2">
        <v>2</v>
      </c>
      <c r="J995" s="2">
        <v>500</v>
      </c>
      <c r="K995" s="2">
        <v>1000</v>
      </c>
      <c r="M995" s="2">
        <v>1000</v>
      </c>
      <c r="N995" t="str" cm="1">
        <f t="array" ref="N995">IF(M995=Table5[[#This Row],[Total Amount]],"Correct",Check)</f>
        <v>Correct</v>
      </c>
    </row>
    <row r="996" spans="3:14" x14ac:dyDescent="0.25">
      <c r="C996" s="2">
        <v>995</v>
      </c>
      <c r="D996" s="10">
        <v>45046</v>
      </c>
      <c r="E996" s="2" t="s">
        <v>1015</v>
      </c>
      <c r="F996" s="2" t="s">
        <v>20</v>
      </c>
      <c r="G996" s="2">
        <v>41</v>
      </c>
      <c r="H996" s="2" t="s">
        <v>21</v>
      </c>
      <c r="I996" s="2">
        <v>1</v>
      </c>
      <c r="J996" s="2">
        <v>30</v>
      </c>
      <c r="K996" s="2">
        <v>30</v>
      </c>
      <c r="M996" s="2">
        <v>30</v>
      </c>
      <c r="N996" t="str" cm="1">
        <f t="array" ref="N996">IF(M996=Table5[[#This Row],[Total Amount]],"Correct",Check)</f>
        <v>Correct</v>
      </c>
    </row>
    <row r="997" spans="3:14" x14ac:dyDescent="0.25">
      <c r="C997" s="2">
        <v>996</v>
      </c>
      <c r="D997" s="10">
        <v>45062</v>
      </c>
      <c r="E997" s="2" t="s">
        <v>1016</v>
      </c>
      <c r="F997" s="2" t="s">
        <v>17</v>
      </c>
      <c r="G997" s="2">
        <v>62</v>
      </c>
      <c r="H997" s="2" t="s">
        <v>21</v>
      </c>
      <c r="I997" s="2">
        <v>1</v>
      </c>
      <c r="J997" s="2">
        <v>50</v>
      </c>
      <c r="K997" s="2">
        <v>50</v>
      </c>
      <c r="M997" s="2">
        <v>50</v>
      </c>
      <c r="N997" t="str" cm="1">
        <f t="array" ref="N997">IF(M997=Table5[[#This Row],[Total Amount]],"Correct",Check)</f>
        <v>Correct</v>
      </c>
    </row>
    <row r="998" spans="3:14" x14ac:dyDescent="0.25">
      <c r="C998" s="2">
        <v>997</v>
      </c>
      <c r="D998" s="10">
        <v>45247</v>
      </c>
      <c r="E998" s="2" t="s">
        <v>1017</v>
      </c>
      <c r="F998" s="2" t="s">
        <v>17</v>
      </c>
      <c r="G998" s="2">
        <v>52</v>
      </c>
      <c r="H998" s="2" t="s">
        <v>18</v>
      </c>
      <c r="I998" s="2">
        <v>3</v>
      </c>
      <c r="J998" s="2">
        <v>30</v>
      </c>
      <c r="K998" s="2">
        <v>90</v>
      </c>
      <c r="M998" s="2">
        <v>90</v>
      </c>
      <c r="N998" t="str" cm="1">
        <f t="array" ref="N998">IF(M998=Table5[[#This Row],[Total Amount]],"Correct",Check)</f>
        <v>Correct</v>
      </c>
    </row>
    <row r="999" spans="3:14" x14ac:dyDescent="0.25">
      <c r="C999" s="2">
        <v>998</v>
      </c>
      <c r="D999" s="10">
        <v>45228</v>
      </c>
      <c r="E999" s="2" t="s">
        <v>1018</v>
      </c>
      <c r="F999" s="2" t="s">
        <v>20</v>
      </c>
      <c r="G999" s="2">
        <v>23</v>
      </c>
      <c r="H999" s="2" t="s">
        <v>18</v>
      </c>
      <c r="I999" s="2">
        <v>4</v>
      </c>
      <c r="J999" s="2">
        <v>25</v>
      </c>
      <c r="K999" s="2">
        <v>100</v>
      </c>
      <c r="M999" s="2">
        <v>100</v>
      </c>
      <c r="N999" t="str" cm="1">
        <f t="array" ref="N999">IF(M999=Table5[[#This Row],[Total Amount]],"Correct",Check)</f>
        <v>Correct</v>
      </c>
    </row>
    <row r="1000" spans="3:14" x14ac:dyDescent="0.25">
      <c r="C1000" s="2">
        <v>999</v>
      </c>
      <c r="D1000" s="10">
        <v>45265</v>
      </c>
      <c r="E1000" s="2" t="s">
        <v>1019</v>
      </c>
      <c r="F1000" s="2" t="s">
        <v>20</v>
      </c>
      <c r="G1000" s="2">
        <v>36</v>
      </c>
      <c r="H1000" s="2" t="s">
        <v>23</v>
      </c>
      <c r="I1000" s="2">
        <v>3</v>
      </c>
      <c r="J1000" s="2">
        <v>50</v>
      </c>
      <c r="K1000" s="2">
        <v>150</v>
      </c>
      <c r="M1000" s="2">
        <v>150</v>
      </c>
      <c r="N1000" t="str" cm="1">
        <f t="array" ref="N1000">IF(M1000=Table5[[#This Row],[Total Amount]],"Correct",Check)</f>
        <v>Correct</v>
      </c>
    </row>
    <row r="1001" spans="3:14" x14ac:dyDescent="0.25">
      <c r="C1001" s="2">
        <v>1000</v>
      </c>
      <c r="D1001" s="10">
        <v>45028</v>
      </c>
      <c r="E1001" s="2" t="s">
        <v>1020</v>
      </c>
      <c r="F1001" s="2" t="s">
        <v>17</v>
      </c>
      <c r="G1001" s="2">
        <v>47</v>
      </c>
      <c r="H1001" s="2" t="s">
        <v>23</v>
      </c>
      <c r="I1001" s="2">
        <v>4</v>
      </c>
      <c r="J1001" s="2">
        <v>30</v>
      </c>
      <c r="K1001" s="2">
        <v>120</v>
      </c>
      <c r="M1001" s="2">
        <v>120</v>
      </c>
      <c r="N1001" t="str" cm="1">
        <f t="array" ref="N1001">IF(M1001=Table5[[#This Row],[Total Amount]],"Correct",Check)</f>
        <v>Correct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E14C8-62F1-4680-8420-C7C2E4325226}">
  <dimension ref="D1:E10"/>
  <sheetViews>
    <sheetView workbookViewId="0">
      <selection activeCell="E1" sqref="E1"/>
    </sheetView>
  </sheetViews>
  <sheetFormatPr defaultRowHeight="15" x14ac:dyDescent="0.25"/>
  <cols>
    <col min="5" max="5" width="26.85546875" customWidth="1"/>
  </cols>
  <sheetData>
    <row r="1" spans="4:5" ht="16.5" x14ac:dyDescent="0.3">
      <c r="E1" s="9" t="s">
        <v>1023</v>
      </c>
    </row>
    <row r="6" spans="4:5" x14ac:dyDescent="0.25">
      <c r="D6" s="2">
        <v>1</v>
      </c>
      <c r="E6" s="1">
        <v>0</v>
      </c>
    </row>
    <row r="7" spans="4:5" x14ac:dyDescent="0.25">
      <c r="D7" s="2">
        <v>2</v>
      </c>
      <c r="E7" s="1">
        <v>0</v>
      </c>
    </row>
    <row r="8" spans="4:5" x14ac:dyDescent="0.25">
      <c r="D8" s="2">
        <v>3</v>
      </c>
      <c r="E8" s="1" t="s">
        <v>5</v>
      </c>
    </row>
    <row r="9" spans="4:5" x14ac:dyDescent="0.25">
      <c r="D9" s="2">
        <v>4</v>
      </c>
      <c r="E9" s="1" t="s">
        <v>5</v>
      </c>
    </row>
    <row r="10" spans="4:5" x14ac:dyDescent="0.25">
      <c r="D10" s="2">
        <v>5</v>
      </c>
      <c r="E10" s="1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D4C53-F28E-4336-A1CD-E615F5F1CF65}">
  <dimension ref="B1:V1003"/>
  <sheetViews>
    <sheetView workbookViewId="0">
      <selection activeCell="O12" sqref="O12"/>
    </sheetView>
  </sheetViews>
  <sheetFormatPr defaultRowHeight="15" x14ac:dyDescent="0.25"/>
  <cols>
    <col min="2" max="2" width="14" bestFit="1" customWidth="1"/>
    <col min="3" max="3" width="12" bestFit="1" customWidth="1"/>
    <col min="4" max="4" width="11.7109375" bestFit="1" customWidth="1"/>
    <col min="5" max="5" width="9.42578125" bestFit="1" customWidth="1"/>
    <col min="7" max="7" width="16" bestFit="1" customWidth="1"/>
    <col min="8" max="8" width="8.42578125" bestFit="1" customWidth="1"/>
    <col min="9" max="10" width="12.7109375" bestFit="1" customWidth="1"/>
    <col min="13" max="13" width="14.5703125" customWidth="1"/>
    <col min="16" max="16" width="23.85546875" bestFit="1" customWidth="1"/>
    <col min="19" max="19" width="27.42578125" bestFit="1" customWidth="1"/>
    <col min="22" max="22" width="15" bestFit="1" customWidth="1"/>
  </cols>
  <sheetData>
    <row r="1" spans="2:22" ht="16.5" x14ac:dyDescent="0.3">
      <c r="E1" s="8" t="s">
        <v>1024</v>
      </c>
    </row>
    <row r="3" spans="2:22" ht="16.5" x14ac:dyDescent="0.3"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  <c r="P3" s="7"/>
    </row>
    <row r="4" spans="2:22" x14ac:dyDescent="0.25">
      <c r="B4" s="2">
        <v>1</v>
      </c>
      <c r="C4" s="6">
        <v>45254</v>
      </c>
      <c r="D4" s="2" t="s">
        <v>16</v>
      </c>
      <c r="E4" s="2" t="s">
        <v>17</v>
      </c>
      <c r="F4" s="2">
        <v>34</v>
      </c>
      <c r="G4" s="2" t="s">
        <v>18</v>
      </c>
      <c r="H4" s="2">
        <v>3</v>
      </c>
      <c r="I4" s="2">
        <v>50</v>
      </c>
      <c r="J4" s="2">
        <v>150</v>
      </c>
    </row>
    <row r="5" spans="2:22" x14ac:dyDescent="0.25">
      <c r="B5" s="2">
        <v>2</v>
      </c>
      <c r="C5" s="6">
        <v>44984</v>
      </c>
      <c r="D5" s="2" t="s">
        <v>19</v>
      </c>
      <c r="E5" s="2" t="s">
        <v>20</v>
      </c>
      <c r="F5" s="2">
        <v>26</v>
      </c>
      <c r="G5" s="2" t="s">
        <v>21</v>
      </c>
      <c r="H5" s="2">
        <v>2</v>
      </c>
      <c r="I5" s="2">
        <v>500</v>
      </c>
      <c r="J5" s="2">
        <v>1000</v>
      </c>
      <c r="L5">
        <v>1</v>
      </c>
      <c r="M5">
        <v>456000</v>
      </c>
      <c r="P5" s="4"/>
      <c r="S5" s="4"/>
      <c r="V5" s="4"/>
    </row>
    <row r="6" spans="2:22" x14ac:dyDescent="0.25">
      <c r="B6" s="2">
        <v>3</v>
      </c>
      <c r="C6" s="6">
        <v>44939</v>
      </c>
      <c r="D6" s="2" t="s">
        <v>22</v>
      </c>
      <c r="E6" s="2" t="s">
        <v>17</v>
      </c>
      <c r="F6" s="2">
        <v>50</v>
      </c>
      <c r="G6" s="2" t="s">
        <v>23</v>
      </c>
      <c r="H6" s="2">
        <v>1</v>
      </c>
      <c r="I6" s="2">
        <v>30</v>
      </c>
      <c r="J6" s="2">
        <v>30</v>
      </c>
      <c r="L6">
        <v>2</v>
      </c>
      <c r="M6">
        <v>456</v>
      </c>
    </row>
    <row r="7" spans="2:22" x14ac:dyDescent="0.25">
      <c r="B7" s="2">
        <v>4</v>
      </c>
      <c r="C7" s="6">
        <v>45067</v>
      </c>
      <c r="D7" s="2" t="s">
        <v>24</v>
      </c>
      <c r="E7" s="2" t="s">
        <v>17</v>
      </c>
      <c r="F7" s="2">
        <v>37</v>
      </c>
      <c r="G7" s="2" t="s">
        <v>21</v>
      </c>
      <c r="H7" s="2">
        <v>1</v>
      </c>
      <c r="I7" s="2">
        <v>500</v>
      </c>
      <c r="J7" s="2">
        <v>500</v>
      </c>
      <c r="L7">
        <v>3</v>
      </c>
      <c r="M7">
        <v>25</v>
      </c>
    </row>
    <row r="8" spans="2:22" x14ac:dyDescent="0.25">
      <c r="B8" s="2">
        <v>5</v>
      </c>
      <c r="C8" s="6">
        <v>45052</v>
      </c>
      <c r="D8" s="2" t="s">
        <v>25</v>
      </c>
      <c r="E8" s="2" t="s">
        <v>17</v>
      </c>
      <c r="F8" s="2">
        <v>30</v>
      </c>
      <c r="G8" s="2" t="s">
        <v>18</v>
      </c>
      <c r="H8" s="2">
        <v>2</v>
      </c>
      <c r="I8" s="2">
        <v>50</v>
      </c>
      <c r="J8" s="2">
        <v>100</v>
      </c>
      <c r="L8">
        <v>4</v>
      </c>
      <c r="M8">
        <v>2000</v>
      </c>
    </row>
    <row r="9" spans="2:22" x14ac:dyDescent="0.25">
      <c r="B9" s="2">
        <v>6</v>
      </c>
      <c r="C9" s="6">
        <v>45041</v>
      </c>
      <c r="D9" s="2" t="s">
        <v>26</v>
      </c>
      <c r="E9" s="2" t="s">
        <v>20</v>
      </c>
      <c r="F9" s="2">
        <v>45</v>
      </c>
      <c r="G9" s="2" t="s">
        <v>18</v>
      </c>
      <c r="H9" s="2">
        <v>1</v>
      </c>
      <c r="I9" s="2">
        <v>30</v>
      </c>
      <c r="J9" s="2">
        <v>30</v>
      </c>
      <c r="L9">
        <v>5</v>
      </c>
      <c r="M9">
        <v>2514</v>
      </c>
    </row>
    <row r="10" spans="2:22" x14ac:dyDescent="0.25">
      <c r="B10" s="2">
        <v>7</v>
      </c>
      <c r="C10" s="6">
        <v>44998</v>
      </c>
      <c r="D10" s="2" t="s">
        <v>27</v>
      </c>
      <c r="E10" s="2" t="s">
        <v>17</v>
      </c>
      <c r="F10" s="2">
        <v>46</v>
      </c>
      <c r="G10" s="2" t="s">
        <v>21</v>
      </c>
      <c r="H10" s="2">
        <v>2</v>
      </c>
      <c r="I10" s="2">
        <v>25</v>
      </c>
      <c r="J10" s="2">
        <v>50</v>
      </c>
      <c r="L10">
        <v>6</v>
      </c>
      <c r="M10" s="3">
        <v>41.392000000000003</v>
      </c>
    </row>
    <row r="11" spans="2:22" x14ac:dyDescent="0.25">
      <c r="B11" s="2">
        <v>8</v>
      </c>
      <c r="C11" s="6">
        <v>44979</v>
      </c>
      <c r="D11" s="2" t="s">
        <v>28</v>
      </c>
      <c r="E11" s="2" t="s">
        <v>17</v>
      </c>
      <c r="F11" s="2">
        <v>30</v>
      </c>
      <c r="G11" s="2" t="s">
        <v>23</v>
      </c>
      <c r="H11" s="2">
        <v>4</v>
      </c>
      <c r="I11" s="2">
        <v>25</v>
      </c>
      <c r="J11" s="2">
        <v>100</v>
      </c>
      <c r="L11">
        <v>7</v>
      </c>
      <c r="M11">
        <v>18</v>
      </c>
    </row>
    <row r="12" spans="2:22" x14ac:dyDescent="0.25">
      <c r="B12" s="2">
        <v>9</v>
      </c>
      <c r="C12" s="6">
        <v>45273</v>
      </c>
      <c r="D12" s="2" t="s">
        <v>29</v>
      </c>
      <c r="E12" s="2" t="s">
        <v>17</v>
      </c>
      <c r="F12" s="2">
        <v>63</v>
      </c>
      <c r="G12" s="2" t="s">
        <v>23</v>
      </c>
      <c r="H12" s="2">
        <v>2</v>
      </c>
      <c r="I12" s="2">
        <v>300</v>
      </c>
      <c r="J12" s="2">
        <v>600</v>
      </c>
      <c r="L12">
        <v>8</v>
      </c>
      <c r="M12">
        <v>64</v>
      </c>
      <c r="P12" s="4"/>
    </row>
    <row r="13" spans="2:22" x14ac:dyDescent="0.25">
      <c r="B13" s="2">
        <v>10</v>
      </c>
      <c r="C13" s="6">
        <v>45206</v>
      </c>
      <c r="D13" s="2" t="s">
        <v>30</v>
      </c>
      <c r="E13" s="2" t="s">
        <v>20</v>
      </c>
      <c r="F13" s="2">
        <v>52</v>
      </c>
      <c r="G13" s="2" t="s">
        <v>21</v>
      </c>
      <c r="H13" s="2">
        <v>4</v>
      </c>
      <c r="I13" s="2">
        <v>50</v>
      </c>
      <c r="J13" s="2">
        <v>200</v>
      </c>
      <c r="L13">
        <v>9</v>
      </c>
      <c r="M13">
        <v>1000</v>
      </c>
    </row>
    <row r="14" spans="2:22" x14ac:dyDescent="0.25">
      <c r="B14" s="2">
        <v>11</v>
      </c>
      <c r="C14" s="6">
        <v>44971</v>
      </c>
      <c r="D14" s="2" t="s">
        <v>31</v>
      </c>
      <c r="E14" s="2" t="s">
        <v>17</v>
      </c>
      <c r="F14" s="2">
        <v>23</v>
      </c>
      <c r="G14" s="2" t="s">
        <v>21</v>
      </c>
      <c r="H14" s="2">
        <v>2</v>
      </c>
      <c r="I14" s="2">
        <v>50</v>
      </c>
      <c r="J14" s="2">
        <v>100</v>
      </c>
      <c r="L14">
        <v>10</v>
      </c>
      <c r="M14">
        <v>3</v>
      </c>
    </row>
    <row r="15" spans="2:22" x14ac:dyDescent="0.25">
      <c r="B15" s="2">
        <v>12</v>
      </c>
      <c r="C15" s="6">
        <v>45229</v>
      </c>
      <c r="D15" s="2" t="s">
        <v>32</v>
      </c>
      <c r="E15" s="2" t="s">
        <v>17</v>
      </c>
      <c r="F15" s="2">
        <v>35</v>
      </c>
      <c r="G15" s="2" t="s">
        <v>18</v>
      </c>
      <c r="H15" s="2">
        <v>3</v>
      </c>
      <c r="I15" s="2">
        <v>25</v>
      </c>
      <c r="J15" s="2">
        <v>75</v>
      </c>
    </row>
    <row r="16" spans="2:22" x14ac:dyDescent="0.25">
      <c r="B16" s="2">
        <v>13</v>
      </c>
      <c r="C16" s="6">
        <v>45143</v>
      </c>
      <c r="D16" s="2" t="s">
        <v>33</v>
      </c>
      <c r="E16" s="2" t="s">
        <v>17</v>
      </c>
      <c r="F16" s="2">
        <v>22</v>
      </c>
      <c r="G16" s="2" t="s">
        <v>23</v>
      </c>
      <c r="H16" s="2">
        <v>3</v>
      </c>
      <c r="I16" s="2">
        <v>500</v>
      </c>
      <c r="J16" s="2">
        <v>1500</v>
      </c>
    </row>
    <row r="17" spans="2:11" x14ac:dyDescent="0.25">
      <c r="B17" s="2">
        <v>14</v>
      </c>
      <c r="C17" s="6">
        <v>44943</v>
      </c>
      <c r="D17" s="2" t="s">
        <v>34</v>
      </c>
      <c r="E17" s="2" t="s">
        <v>17</v>
      </c>
      <c r="F17" s="2">
        <v>64</v>
      </c>
      <c r="G17" s="2" t="s">
        <v>21</v>
      </c>
      <c r="H17" s="2">
        <v>4</v>
      </c>
      <c r="I17" s="2">
        <v>30</v>
      </c>
      <c r="J17" s="2">
        <v>120</v>
      </c>
      <c r="K17" s="11"/>
    </row>
    <row r="18" spans="2:11" x14ac:dyDescent="0.25">
      <c r="B18" s="2">
        <v>15</v>
      </c>
      <c r="C18" s="6">
        <v>44942</v>
      </c>
      <c r="D18" s="2" t="s">
        <v>35</v>
      </c>
      <c r="E18" s="2" t="s">
        <v>20</v>
      </c>
      <c r="F18" s="2">
        <v>42</v>
      </c>
      <c r="G18" s="2" t="s">
        <v>23</v>
      </c>
      <c r="H18" s="2">
        <v>4</v>
      </c>
      <c r="I18" s="2">
        <v>500</v>
      </c>
      <c r="J18" s="2">
        <v>2000</v>
      </c>
    </row>
    <row r="19" spans="2:11" x14ac:dyDescent="0.25">
      <c r="B19" s="2">
        <v>16</v>
      </c>
      <c r="C19" s="6">
        <v>44974</v>
      </c>
      <c r="D19" s="2" t="s">
        <v>36</v>
      </c>
      <c r="E19" s="2" t="s">
        <v>17</v>
      </c>
      <c r="F19" s="2">
        <v>19</v>
      </c>
      <c r="G19" s="2" t="s">
        <v>21</v>
      </c>
      <c r="H19" s="2">
        <v>3</v>
      </c>
      <c r="I19" s="2">
        <v>500</v>
      </c>
      <c r="J19" s="2">
        <v>1500</v>
      </c>
    </row>
    <row r="20" spans="2:11" x14ac:dyDescent="0.25">
      <c r="B20" s="2">
        <v>17</v>
      </c>
      <c r="C20" s="6">
        <v>45038</v>
      </c>
      <c r="D20" s="2" t="s">
        <v>37</v>
      </c>
      <c r="E20" s="2" t="s">
        <v>20</v>
      </c>
      <c r="F20" s="2">
        <v>27</v>
      </c>
      <c r="G20" s="2" t="s">
        <v>21</v>
      </c>
      <c r="H20" s="2">
        <v>4</v>
      </c>
      <c r="I20" s="2">
        <v>25</v>
      </c>
      <c r="J20" s="2">
        <v>100</v>
      </c>
    </row>
    <row r="21" spans="2:11" x14ac:dyDescent="0.25">
      <c r="B21" s="2">
        <v>18</v>
      </c>
      <c r="C21" s="6">
        <v>45046</v>
      </c>
      <c r="D21" s="2" t="s">
        <v>38</v>
      </c>
      <c r="E21" s="2" t="s">
        <v>20</v>
      </c>
      <c r="F21" s="2">
        <v>47</v>
      </c>
      <c r="G21" s="2" t="s">
        <v>23</v>
      </c>
      <c r="H21" s="2">
        <v>2</v>
      </c>
      <c r="I21" s="2">
        <v>25</v>
      </c>
      <c r="J21" s="2">
        <v>50</v>
      </c>
    </row>
    <row r="22" spans="2:11" x14ac:dyDescent="0.25">
      <c r="B22" s="2">
        <v>19</v>
      </c>
      <c r="C22" s="6">
        <v>45185</v>
      </c>
      <c r="D22" s="2" t="s">
        <v>39</v>
      </c>
      <c r="E22" s="2" t="s">
        <v>20</v>
      </c>
      <c r="F22" s="2">
        <v>62</v>
      </c>
      <c r="G22" s="2" t="s">
        <v>21</v>
      </c>
      <c r="H22" s="2">
        <v>2</v>
      </c>
      <c r="I22" s="2">
        <v>25</v>
      </c>
      <c r="J22" s="2">
        <v>50</v>
      </c>
    </row>
    <row r="23" spans="2:11" x14ac:dyDescent="0.25">
      <c r="B23" s="2">
        <v>20</v>
      </c>
      <c r="C23" s="6">
        <v>45235</v>
      </c>
      <c r="D23" s="2" t="s">
        <v>40</v>
      </c>
      <c r="E23" s="2" t="s">
        <v>17</v>
      </c>
      <c r="F23" s="2">
        <v>22</v>
      </c>
      <c r="G23" s="2" t="s">
        <v>21</v>
      </c>
      <c r="H23" s="2">
        <v>3</v>
      </c>
      <c r="I23" s="2">
        <v>300</v>
      </c>
      <c r="J23" s="2">
        <v>900</v>
      </c>
    </row>
    <row r="24" spans="2:11" x14ac:dyDescent="0.25">
      <c r="B24" s="2">
        <v>21</v>
      </c>
      <c r="C24" s="6">
        <v>44940</v>
      </c>
      <c r="D24" s="2" t="s">
        <v>41</v>
      </c>
      <c r="E24" s="2" t="s">
        <v>20</v>
      </c>
      <c r="F24" s="2">
        <v>50</v>
      </c>
      <c r="G24" s="2" t="s">
        <v>18</v>
      </c>
      <c r="H24" s="2">
        <v>1</v>
      </c>
      <c r="I24" s="2">
        <v>500</v>
      </c>
      <c r="J24" s="2">
        <v>500</v>
      </c>
    </row>
    <row r="25" spans="2:11" x14ac:dyDescent="0.25">
      <c r="B25" s="2">
        <v>22</v>
      </c>
      <c r="C25" s="6">
        <v>45214</v>
      </c>
      <c r="D25" s="2" t="s">
        <v>42</v>
      </c>
      <c r="E25" s="2" t="s">
        <v>17</v>
      </c>
      <c r="F25" s="2">
        <v>18</v>
      </c>
      <c r="G25" s="2" t="s">
        <v>21</v>
      </c>
      <c r="H25" s="2">
        <v>2</v>
      </c>
      <c r="I25" s="2">
        <v>50</v>
      </c>
      <c r="J25" s="2">
        <v>100</v>
      </c>
    </row>
    <row r="26" spans="2:11" x14ac:dyDescent="0.25">
      <c r="B26" s="2">
        <v>23</v>
      </c>
      <c r="C26" s="6">
        <v>45028</v>
      </c>
      <c r="D26" s="2" t="s">
        <v>43</v>
      </c>
      <c r="E26" s="2" t="s">
        <v>20</v>
      </c>
      <c r="F26" s="2">
        <v>35</v>
      </c>
      <c r="G26" s="2" t="s">
        <v>21</v>
      </c>
      <c r="H26" s="2">
        <v>4</v>
      </c>
      <c r="I26" s="2">
        <v>30</v>
      </c>
      <c r="J26" s="2">
        <v>120</v>
      </c>
    </row>
    <row r="27" spans="2:11" x14ac:dyDescent="0.25">
      <c r="B27" s="2">
        <v>24</v>
      </c>
      <c r="C27" s="6">
        <v>45259</v>
      </c>
      <c r="D27" s="2" t="s">
        <v>44</v>
      </c>
      <c r="E27" s="2" t="s">
        <v>20</v>
      </c>
      <c r="F27" s="2">
        <v>49</v>
      </c>
      <c r="G27" s="2" t="s">
        <v>21</v>
      </c>
      <c r="H27" s="2">
        <v>1</v>
      </c>
      <c r="I27" s="2">
        <v>300</v>
      </c>
      <c r="J27" s="2">
        <v>300</v>
      </c>
    </row>
    <row r="28" spans="2:11" x14ac:dyDescent="0.25">
      <c r="B28" s="2">
        <v>25</v>
      </c>
      <c r="C28" s="6">
        <v>45286</v>
      </c>
      <c r="D28" s="2" t="s">
        <v>45</v>
      </c>
      <c r="E28" s="2" t="s">
        <v>20</v>
      </c>
      <c r="F28" s="2">
        <v>64</v>
      </c>
      <c r="G28" s="2" t="s">
        <v>18</v>
      </c>
      <c r="H28" s="2">
        <v>1</v>
      </c>
      <c r="I28" s="2">
        <v>50</v>
      </c>
      <c r="J28" s="2">
        <v>50</v>
      </c>
    </row>
    <row r="29" spans="2:11" x14ac:dyDescent="0.25">
      <c r="B29" s="2">
        <v>26</v>
      </c>
      <c r="C29" s="6">
        <v>45206</v>
      </c>
      <c r="D29" s="2" t="s">
        <v>46</v>
      </c>
      <c r="E29" s="2" t="s">
        <v>20</v>
      </c>
      <c r="F29" s="2">
        <v>28</v>
      </c>
      <c r="G29" s="2" t="s">
        <v>23</v>
      </c>
      <c r="H29" s="2">
        <v>2</v>
      </c>
      <c r="I29" s="2">
        <v>500</v>
      </c>
      <c r="J29" s="2">
        <v>1000</v>
      </c>
    </row>
    <row r="30" spans="2:11" x14ac:dyDescent="0.25">
      <c r="B30" s="2">
        <v>27</v>
      </c>
      <c r="C30" s="6">
        <v>45141</v>
      </c>
      <c r="D30" s="2" t="s">
        <v>47</v>
      </c>
      <c r="E30" s="2" t="s">
        <v>20</v>
      </c>
      <c r="F30" s="2">
        <v>38</v>
      </c>
      <c r="G30" s="2" t="s">
        <v>18</v>
      </c>
      <c r="H30" s="2">
        <v>2</v>
      </c>
      <c r="I30" s="2">
        <v>25</v>
      </c>
      <c r="J30" s="2">
        <v>50</v>
      </c>
    </row>
    <row r="31" spans="2:11" x14ac:dyDescent="0.25">
      <c r="B31" s="2">
        <v>28</v>
      </c>
      <c r="C31" s="6">
        <v>45039</v>
      </c>
      <c r="D31" s="2" t="s">
        <v>48</v>
      </c>
      <c r="E31" s="2" t="s">
        <v>20</v>
      </c>
      <c r="F31" s="2">
        <v>43</v>
      </c>
      <c r="G31" s="2" t="s">
        <v>18</v>
      </c>
      <c r="H31" s="2">
        <v>1</v>
      </c>
      <c r="I31" s="2">
        <v>500</v>
      </c>
      <c r="J31" s="2">
        <v>500</v>
      </c>
    </row>
    <row r="32" spans="2:11" x14ac:dyDescent="0.25">
      <c r="B32" s="2">
        <v>29</v>
      </c>
      <c r="C32" s="6">
        <v>45156</v>
      </c>
      <c r="D32" s="2" t="s">
        <v>49</v>
      </c>
      <c r="E32" s="2" t="s">
        <v>20</v>
      </c>
      <c r="F32" s="2">
        <v>42</v>
      </c>
      <c r="G32" s="2" t="s">
        <v>23</v>
      </c>
      <c r="H32" s="2">
        <v>1</v>
      </c>
      <c r="I32" s="2">
        <v>30</v>
      </c>
      <c r="J32" s="2">
        <v>30</v>
      </c>
    </row>
    <row r="33" spans="2:10" x14ac:dyDescent="0.25">
      <c r="B33" s="2">
        <v>30</v>
      </c>
      <c r="C33" s="6">
        <v>45228</v>
      </c>
      <c r="D33" s="2" t="s">
        <v>50</v>
      </c>
      <c r="E33" s="2" t="s">
        <v>20</v>
      </c>
      <c r="F33" s="2">
        <v>39</v>
      </c>
      <c r="G33" s="2" t="s">
        <v>18</v>
      </c>
      <c r="H33" s="2">
        <v>3</v>
      </c>
      <c r="I33" s="2">
        <v>300</v>
      </c>
      <c r="J33" s="2">
        <v>900</v>
      </c>
    </row>
    <row r="34" spans="2:10" x14ac:dyDescent="0.25">
      <c r="B34" s="2">
        <v>31</v>
      </c>
      <c r="C34" s="6">
        <v>45069</v>
      </c>
      <c r="D34" s="2" t="s">
        <v>51</v>
      </c>
      <c r="E34" s="2" t="s">
        <v>17</v>
      </c>
      <c r="F34" s="2">
        <v>44</v>
      </c>
      <c r="G34" s="2" t="s">
        <v>23</v>
      </c>
      <c r="H34" s="2">
        <v>4</v>
      </c>
      <c r="I34" s="2">
        <v>300</v>
      </c>
      <c r="J34" s="2">
        <v>1200</v>
      </c>
    </row>
    <row r="35" spans="2:10" x14ac:dyDescent="0.25">
      <c r="B35" s="2">
        <v>32</v>
      </c>
      <c r="C35" s="6">
        <v>44930</v>
      </c>
      <c r="D35" s="2" t="s">
        <v>52</v>
      </c>
      <c r="E35" s="2" t="s">
        <v>17</v>
      </c>
      <c r="F35" s="2">
        <v>30</v>
      </c>
      <c r="G35" s="2" t="s">
        <v>18</v>
      </c>
      <c r="H35" s="2">
        <v>3</v>
      </c>
      <c r="I35" s="2">
        <v>30</v>
      </c>
      <c r="J35" s="2">
        <v>90</v>
      </c>
    </row>
    <row r="36" spans="2:10" x14ac:dyDescent="0.25">
      <c r="B36" s="2">
        <v>33</v>
      </c>
      <c r="C36" s="6">
        <v>45008</v>
      </c>
      <c r="D36" s="2" t="s">
        <v>53</v>
      </c>
      <c r="E36" s="2" t="s">
        <v>20</v>
      </c>
      <c r="F36" s="2">
        <v>50</v>
      </c>
      <c r="G36" s="2" t="s">
        <v>23</v>
      </c>
      <c r="H36" s="2">
        <v>2</v>
      </c>
      <c r="I36" s="2">
        <v>50</v>
      </c>
      <c r="J36" s="2">
        <v>100</v>
      </c>
    </row>
    <row r="37" spans="2:10" x14ac:dyDescent="0.25">
      <c r="B37" s="2">
        <v>34</v>
      </c>
      <c r="C37" s="6">
        <v>45284</v>
      </c>
      <c r="D37" s="2" t="s">
        <v>54</v>
      </c>
      <c r="E37" s="2" t="s">
        <v>20</v>
      </c>
      <c r="F37" s="2">
        <v>51</v>
      </c>
      <c r="G37" s="2" t="s">
        <v>21</v>
      </c>
      <c r="H37" s="2">
        <v>3</v>
      </c>
      <c r="I37" s="2">
        <v>50</v>
      </c>
      <c r="J37" s="2">
        <v>150</v>
      </c>
    </row>
    <row r="38" spans="2:10" x14ac:dyDescent="0.25">
      <c r="B38" s="2">
        <v>35</v>
      </c>
      <c r="C38" s="6">
        <v>45143</v>
      </c>
      <c r="D38" s="2" t="s">
        <v>55</v>
      </c>
      <c r="E38" s="2" t="s">
        <v>20</v>
      </c>
      <c r="F38" s="2">
        <v>58</v>
      </c>
      <c r="G38" s="2" t="s">
        <v>18</v>
      </c>
      <c r="H38" s="2">
        <v>3</v>
      </c>
      <c r="I38" s="2">
        <v>300</v>
      </c>
      <c r="J38" s="2">
        <v>900</v>
      </c>
    </row>
    <row r="39" spans="2:10" x14ac:dyDescent="0.25">
      <c r="B39" s="2">
        <v>36</v>
      </c>
      <c r="C39" s="6">
        <v>45101</v>
      </c>
      <c r="D39" s="2" t="s">
        <v>56</v>
      </c>
      <c r="E39" s="2" t="s">
        <v>17</v>
      </c>
      <c r="F39" s="2">
        <v>52</v>
      </c>
      <c r="G39" s="2" t="s">
        <v>18</v>
      </c>
      <c r="H39" s="2">
        <v>3</v>
      </c>
      <c r="I39" s="2">
        <v>300</v>
      </c>
      <c r="J39" s="2">
        <v>900</v>
      </c>
    </row>
    <row r="40" spans="2:10" x14ac:dyDescent="0.25">
      <c r="B40" s="2">
        <v>37</v>
      </c>
      <c r="C40" s="6">
        <v>45069</v>
      </c>
      <c r="D40" s="2" t="s">
        <v>57</v>
      </c>
      <c r="E40" s="2" t="s">
        <v>20</v>
      </c>
      <c r="F40" s="2">
        <v>18</v>
      </c>
      <c r="G40" s="2" t="s">
        <v>18</v>
      </c>
      <c r="H40" s="2">
        <v>3</v>
      </c>
      <c r="I40" s="2">
        <v>25</v>
      </c>
      <c r="J40" s="2">
        <v>75</v>
      </c>
    </row>
    <row r="41" spans="2:10" x14ac:dyDescent="0.25">
      <c r="B41" s="2">
        <v>38</v>
      </c>
      <c r="C41" s="6">
        <v>45006</v>
      </c>
      <c r="D41" s="2" t="s">
        <v>58</v>
      </c>
      <c r="E41" s="2" t="s">
        <v>17</v>
      </c>
      <c r="F41" s="2">
        <v>38</v>
      </c>
      <c r="G41" s="2" t="s">
        <v>18</v>
      </c>
      <c r="H41" s="2">
        <v>4</v>
      </c>
      <c r="I41" s="2">
        <v>50</v>
      </c>
      <c r="J41" s="2">
        <v>200</v>
      </c>
    </row>
    <row r="42" spans="2:10" x14ac:dyDescent="0.25">
      <c r="B42" s="2">
        <v>39</v>
      </c>
      <c r="C42" s="6">
        <v>45037</v>
      </c>
      <c r="D42" s="2" t="s">
        <v>59</v>
      </c>
      <c r="E42" s="2" t="s">
        <v>17</v>
      </c>
      <c r="F42" s="2">
        <v>23</v>
      </c>
      <c r="G42" s="2" t="s">
        <v>21</v>
      </c>
      <c r="H42" s="2">
        <v>4</v>
      </c>
      <c r="I42" s="2">
        <v>30</v>
      </c>
      <c r="J42" s="2">
        <v>120</v>
      </c>
    </row>
    <row r="43" spans="2:10" x14ac:dyDescent="0.25">
      <c r="B43" s="2">
        <v>40</v>
      </c>
      <c r="C43" s="6">
        <v>45099</v>
      </c>
      <c r="D43" s="2" t="s">
        <v>60</v>
      </c>
      <c r="E43" s="2" t="s">
        <v>17</v>
      </c>
      <c r="F43" s="2">
        <v>45</v>
      </c>
      <c r="G43" s="2" t="s">
        <v>18</v>
      </c>
      <c r="H43" s="2">
        <v>1</v>
      </c>
      <c r="I43" s="2">
        <v>50</v>
      </c>
      <c r="J43" s="2">
        <v>50</v>
      </c>
    </row>
    <row r="44" spans="2:10" x14ac:dyDescent="0.25">
      <c r="B44" s="2">
        <v>41</v>
      </c>
      <c r="C44" s="6">
        <v>44979</v>
      </c>
      <c r="D44" s="2" t="s">
        <v>61</v>
      </c>
      <c r="E44" s="2" t="s">
        <v>17</v>
      </c>
      <c r="F44" s="2">
        <v>34</v>
      </c>
      <c r="G44" s="2" t="s">
        <v>21</v>
      </c>
      <c r="H44" s="2">
        <v>2</v>
      </c>
      <c r="I44" s="2">
        <v>25</v>
      </c>
      <c r="J44" s="2">
        <v>50</v>
      </c>
    </row>
    <row r="45" spans="2:10" x14ac:dyDescent="0.25">
      <c r="B45" s="2">
        <v>42</v>
      </c>
      <c r="C45" s="6">
        <v>44974</v>
      </c>
      <c r="D45" s="2" t="s">
        <v>62</v>
      </c>
      <c r="E45" s="2" t="s">
        <v>17</v>
      </c>
      <c r="F45" s="2">
        <v>22</v>
      </c>
      <c r="G45" s="2" t="s">
        <v>21</v>
      </c>
      <c r="H45" s="2">
        <v>3</v>
      </c>
      <c r="I45" s="2">
        <v>300</v>
      </c>
      <c r="J45" s="2">
        <v>900</v>
      </c>
    </row>
    <row r="46" spans="2:10" x14ac:dyDescent="0.25">
      <c r="B46" s="2">
        <v>43</v>
      </c>
      <c r="C46" s="6">
        <v>45121</v>
      </c>
      <c r="D46" s="2" t="s">
        <v>63</v>
      </c>
      <c r="E46" s="2" t="s">
        <v>20</v>
      </c>
      <c r="F46" s="2">
        <v>48</v>
      </c>
      <c r="G46" s="2" t="s">
        <v>21</v>
      </c>
      <c r="H46" s="2">
        <v>1</v>
      </c>
      <c r="I46" s="2">
        <v>300</v>
      </c>
      <c r="J46" s="2">
        <v>300</v>
      </c>
    </row>
    <row r="47" spans="2:10" x14ac:dyDescent="0.25">
      <c r="B47" s="2">
        <v>44</v>
      </c>
      <c r="C47" s="6">
        <v>44976</v>
      </c>
      <c r="D47" s="2" t="s">
        <v>64</v>
      </c>
      <c r="E47" s="2" t="s">
        <v>20</v>
      </c>
      <c r="F47" s="2">
        <v>22</v>
      </c>
      <c r="G47" s="2" t="s">
        <v>21</v>
      </c>
      <c r="H47" s="2">
        <v>1</v>
      </c>
      <c r="I47" s="2">
        <v>25</v>
      </c>
      <c r="J47" s="2">
        <v>25</v>
      </c>
    </row>
    <row r="48" spans="2:10" x14ac:dyDescent="0.25">
      <c r="B48" s="2">
        <v>45</v>
      </c>
      <c r="C48" s="6">
        <v>45110</v>
      </c>
      <c r="D48" s="2" t="s">
        <v>65</v>
      </c>
      <c r="E48" s="2" t="s">
        <v>20</v>
      </c>
      <c r="F48" s="2">
        <v>55</v>
      </c>
      <c r="G48" s="2" t="s">
        <v>23</v>
      </c>
      <c r="H48" s="2">
        <v>1</v>
      </c>
      <c r="I48" s="2">
        <v>30</v>
      </c>
      <c r="J48" s="2">
        <v>30</v>
      </c>
    </row>
    <row r="49" spans="2:10" x14ac:dyDescent="0.25">
      <c r="B49" s="2">
        <v>46</v>
      </c>
      <c r="C49" s="6">
        <v>45103</v>
      </c>
      <c r="D49" s="2" t="s">
        <v>66</v>
      </c>
      <c r="E49" s="2" t="s">
        <v>20</v>
      </c>
      <c r="F49" s="2">
        <v>20</v>
      </c>
      <c r="G49" s="2" t="s">
        <v>23</v>
      </c>
      <c r="H49" s="2">
        <v>4</v>
      </c>
      <c r="I49" s="2">
        <v>300</v>
      </c>
      <c r="J49" s="2">
        <v>1200</v>
      </c>
    </row>
    <row r="50" spans="2:10" x14ac:dyDescent="0.25">
      <c r="B50" s="2">
        <v>47</v>
      </c>
      <c r="C50" s="6">
        <v>45236</v>
      </c>
      <c r="D50" s="2" t="s">
        <v>67</v>
      </c>
      <c r="E50" s="2" t="s">
        <v>20</v>
      </c>
      <c r="F50" s="2">
        <v>40</v>
      </c>
      <c r="G50" s="2" t="s">
        <v>18</v>
      </c>
      <c r="H50" s="2">
        <v>3</v>
      </c>
      <c r="I50" s="2">
        <v>500</v>
      </c>
      <c r="J50" s="2">
        <v>1500</v>
      </c>
    </row>
    <row r="51" spans="2:10" x14ac:dyDescent="0.25">
      <c r="B51" s="2">
        <v>48</v>
      </c>
      <c r="C51" s="6">
        <v>45062</v>
      </c>
      <c r="D51" s="2" t="s">
        <v>68</v>
      </c>
      <c r="E51" s="2" t="s">
        <v>17</v>
      </c>
      <c r="F51" s="2">
        <v>54</v>
      </c>
      <c r="G51" s="2" t="s">
        <v>23</v>
      </c>
      <c r="H51" s="2">
        <v>3</v>
      </c>
      <c r="I51" s="2">
        <v>300</v>
      </c>
      <c r="J51" s="2">
        <v>900</v>
      </c>
    </row>
    <row r="52" spans="2:10" x14ac:dyDescent="0.25">
      <c r="B52" s="2">
        <v>49</v>
      </c>
      <c r="C52" s="6">
        <v>44949</v>
      </c>
      <c r="D52" s="2" t="s">
        <v>69</v>
      </c>
      <c r="E52" s="2" t="s">
        <v>20</v>
      </c>
      <c r="F52" s="2">
        <v>54</v>
      </c>
      <c r="G52" s="2" t="s">
        <v>23</v>
      </c>
      <c r="H52" s="2">
        <v>2</v>
      </c>
      <c r="I52" s="2">
        <v>500</v>
      </c>
      <c r="J52" s="2">
        <v>1000</v>
      </c>
    </row>
    <row r="53" spans="2:10" x14ac:dyDescent="0.25">
      <c r="B53" s="2">
        <v>50</v>
      </c>
      <c r="C53" s="6">
        <v>45162</v>
      </c>
      <c r="D53" s="2" t="s">
        <v>70</v>
      </c>
      <c r="E53" s="2" t="s">
        <v>20</v>
      </c>
      <c r="F53" s="2">
        <v>27</v>
      </c>
      <c r="G53" s="2" t="s">
        <v>18</v>
      </c>
      <c r="H53" s="2">
        <v>3</v>
      </c>
      <c r="I53" s="2">
        <v>25</v>
      </c>
      <c r="J53" s="2">
        <v>75</v>
      </c>
    </row>
    <row r="54" spans="2:10" x14ac:dyDescent="0.25">
      <c r="B54" s="2">
        <v>51</v>
      </c>
      <c r="C54" s="6">
        <v>45201</v>
      </c>
      <c r="D54" s="2" t="s">
        <v>71</v>
      </c>
      <c r="E54" s="2" t="s">
        <v>17</v>
      </c>
      <c r="F54" s="2">
        <v>27</v>
      </c>
      <c r="G54" s="2" t="s">
        <v>18</v>
      </c>
      <c r="H54" s="2">
        <v>3</v>
      </c>
      <c r="I54" s="2">
        <v>25</v>
      </c>
      <c r="J54" s="2">
        <v>75</v>
      </c>
    </row>
    <row r="55" spans="2:10" x14ac:dyDescent="0.25">
      <c r="B55" s="2">
        <v>52</v>
      </c>
      <c r="C55" s="6">
        <v>44990</v>
      </c>
      <c r="D55" s="2" t="s">
        <v>72</v>
      </c>
      <c r="E55" s="2" t="s">
        <v>20</v>
      </c>
      <c r="F55" s="2">
        <v>36</v>
      </c>
      <c r="G55" s="2" t="s">
        <v>18</v>
      </c>
      <c r="H55" s="2">
        <v>1</v>
      </c>
      <c r="I55" s="2">
        <v>300</v>
      </c>
      <c r="J55" s="2">
        <v>300</v>
      </c>
    </row>
    <row r="56" spans="2:10" x14ac:dyDescent="0.25">
      <c r="B56" s="2">
        <v>53</v>
      </c>
      <c r="C56" s="6">
        <v>45120</v>
      </c>
      <c r="D56" s="2" t="s">
        <v>73</v>
      </c>
      <c r="E56" s="2" t="s">
        <v>17</v>
      </c>
      <c r="F56" s="2">
        <v>34</v>
      </c>
      <c r="G56" s="2" t="s">
        <v>23</v>
      </c>
      <c r="H56" s="2">
        <v>2</v>
      </c>
      <c r="I56" s="2">
        <v>50</v>
      </c>
      <c r="J56" s="2">
        <v>100</v>
      </c>
    </row>
    <row r="57" spans="2:10" x14ac:dyDescent="0.25">
      <c r="B57" s="2">
        <v>54</v>
      </c>
      <c r="C57" s="6">
        <v>44967</v>
      </c>
      <c r="D57" s="2" t="s">
        <v>74</v>
      </c>
      <c r="E57" s="2" t="s">
        <v>20</v>
      </c>
      <c r="F57" s="2">
        <v>38</v>
      </c>
      <c r="G57" s="2" t="s">
        <v>23</v>
      </c>
      <c r="H57" s="2">
        <v>3</v>
      </c>
      <c r="I57" s="2">
        <v>500</v>
      </c>
      <c r="J57" s="2">
        <v>1500</v>
      </c>
    </row>
    <row r="58" spans="2:10" x14ac:dyDescent="0.25">
      <c r="B58" s="2">
        <v>55</v>
      </c>
      <c r="C58" s="6">
        <v>45209</v>
      </c>
      <c r="D58" s="2" t="s">
        <v>75</v>
      </c>
      <c r="E58" s="2" t="s">
        <v>17</v>
      </c>
      <c r="F58" s="2">
        <v>31</v>
      </c>
      <c r="G58" s="2" t="s">
        <v>18</v>
      </c>
      <c r="H58" s="2">
        <v>4</v>
      </c>
      <c r="I58" s="2">
        <v>30</v>
      </c>
      <c r="J58" s="2">
        <v>120</v>
      </c>
    </row>
    <row r="59" spans="2:10" x14ac:dyDescent="0.25">
      <c r="B59" s="2">
        <v>56</v>
      </c>
      <c r="C59" s="6">
        <v>45077</v>
      </c>
      <c r="D59" s="2" t="s">
        <v>76</v>
      </c>
      <c r="E59" s="2" t="s">
        <v>20</v>
      </c>
      <c r="F59" s="2">
        <v>26</v>
      </c>
      <c r="G59" s="2" t="s">
        <v>21</v>
      </c>
      <c r="H59" s="2">
        <v>3</v>
      </c>
      <c r="I59" s="2">
        <v>300</v>
      </c>
      <c r="J59" s="2">
        <v>900</v>
      </c>
    </row>
    <row r="60" spans="2:10" x14ac:dyDescent="0.25">
      <c r="B60" s="2">
        <v>57</v>
      </c>
      <c r="C60" s="6">
        <v>45248</v>
      </c>
      <c r="D60" s="2" t="s">
        <v>77</v>
      </c>
      <c r="E60" s="2" t="s">
        <v>20</v>
      </c>
      <c r="F60" s="2">
        <v>63</v>
      </c>
      <c r="G60" s="2" t="s">
        <v>18</v>
      </c>
      <c r="H60" s="2">
        <v>1</v>
      </c>
      <c r="I60" s="2">
        <v>30</v>
      </c>
      <c r="J60" s="2">
        <v>30</v>
      </c>
    </row>
    <row r="61" spans="2:10" x14ac:dyDescent="0.25">
      <c r="B61" s="2">
        <v>58</v>
      </c>
      <c r="C61" s="6">
        <v>45243</v>
      </c>
      <c r="D61" s="2" t="s">
        <v>78</v>
      </c>
      <c r="E61" s="2" t="s">
        <v>17</v>
      </c>
      <c r="F61" s="2">
        <v>18</v>
      </c>
      <c r="G61" s="2" t="s">
        <v>21</v>
      </c>
      <c r="H61" s="2">
        <v>4</v>
      </c>
      <c r="I61" s="2">
        <v>300</v>
      </c>
      <c r="J61" s="2">
        <v>1200</v>
      </c>
    </row>
    <row r="62" spans="2:10" x14ac:dyDescent="0.25">
      <c r="B62" s="2">
        <v>59</v>
      </c>
      <c r="C62" s="6">
        <v>45112</v>
      </c>
      <c r="D62" s="2" t="s">
        <v>79</v>
      </c>
      <c r="E62" s="2" t="s">
        <v>17</v>
      </c>
      <c r="F62" s="2">
        <v>62</v>
      </c>
      <c r="G62" s="2" t="s">
        <v>21</v>
      </c>
      <c r="H62" s="2">
        <v>1</v>
      </c>
      <c r="I62" s="2">
        <v>50</v>
      </c>
      <c r="J62" s="2">
        <v>50</v>
      </c>
    </row>
    <row r="63" spans="2:10" x14ac:dyDescent="0.25">
      <c r="B63" s="2">
        <v>60</v>
      </c>
      <c r="C63" s="6">
        <v>45222</v>
      </c>
      <c r="D63" s="2" t="s">
        <v>80</v>
      </c>
      <c r="E63" s="2" t="s">
        <v>17</v>
      </c>
      <c r="F63" s="2">
        <v>30</v>
      </c>
      <c r="G63" s="2" t="s">
        <v>18</v>
      </c>
      <c r="H63" s="2">
        <v>3</v>
      </c>
      <c r="I63" s="2">
        <v>50</v>
      </c>
      <c r="J63" s="2">
        <v>150</v>
      </c>
    </row>
    <row r="64" spans="2:10" x14ac:dyDescent="0.25">
      <c r="B64" s="2">
        <v>61</v>
      </c>
      <c r="C64" s="6">
        <v>45025</v>
      </c>
      <c r="D64" s="2" t="s">
        <v>81</v>
      </c>
      <c r="E64" s="2" t="s">
        <v>17</v>
      </c>
      <c r="F64" s="2">
        <v>21</v>
      </c>
      <c r="G64" s="2" t="s">
        <v>18</v>
      </c>
      <c r="H64" s="2">
        <v>4</v>
      </c>
      <c r="I64" s="2">
        <v>50</v>
      </c>
      <c r="J64" s="2">
        <v>200</v>
      </c>
    </row>
    <row r="65" spans="2:10" x14ac:dyDescent="0.25">
      <c r="B65" s="2">
        <v>62</v>
      </c>
      <c r="C65" s="6">
        <v>45287</v>
      </c>
      <c r="D65" s="2" t="s">
        <v>82</v>
      </c>
      <c r="E65" s="2" t="s">
        <v>17</v>
      </c>
      <c r="F65" s="2">
        <v>18</v>
      </c>
      <c r="G65" s="2" t="s">
        <v>18</v>
      </c>
      <c r="H65" s="2">
        <v>2</v>
      </c>
      <c r="I65" s="2">
        <v>50</v>
      </c>
      <c r="J65" s="2">
        <v>100</v>
      </c>
    </row>
    <row r="66" spans="2:10" x14ac:dyDescent="0.25">
      <c r="B66" s="2">
        <v>63</v>
      </c>
      <c r="C66" s="6">
        <v>44962</v>
      </c>
      <c r="D66" s="2" t="s">
        <v>83</v>
      </c>
      <c r="E66" s="2" t="s">
        <v>17</v>
      </c>
      <c r="F66" s="2">
        <v>57</v>
      </c>
      <c r="G66" s="2" t="s">
        <v>23</v>
      </c>
      <c r="H66" s="2">
        <v>2</v>
      </c>
      <c r="I66" s="2">
        <v>25</v>
      </c>
      <c r="J66" s="2">
        <v>50</v>
      </c>
    </row>
    <row r="67" spans="2:10" x14ac:dyDescent="0.25">
      <c r="B67" s="2">
        <v>64</v>
      </c>
      <c r="C67" s="6">
        <v>44950</v>
      </c>
      <c r="D67" s="2" t="s">
        <v>84</v>
      </c>
      <c r="E67" s="2" t="s">
        <v>17</v>
      </c>
      <c r="F67" s="2">
        <v>49</v>
      </c>
      <c r="G67" s="2" t="s">
        <v>21</v>
      </c>
      <c r="H67" s="2">
        <v>4</v>
      </c>
      <c r="I67" s="2">
        <v>25</v>
      </c>
      <c r="J67" s="2">
        <v>100</v>
      </c>
    </row>
    <row r="68" spans="2:10" x14ac:dyDescent="0.25">
      <c r="B68" s="2">
        <v>65</v>
      </c>
      <c r="C68" s="6">
        <v>45265</v>
      </c>
      <c r="D68" s="2" t="s">
        <v>85</v>
      </c>
      <c r="E68" s="2" t="s">
        <v>17</v>
      </c>
      <c r="F68" s="2">
        <v>51</v>
      </c>
      <c r="G68" s="2" t="s">
        <v>23</v>
      </c>
      <c r="H68" s="2">
        <v>4</v>
      </c>
      <c r="I68" s="2">
        <v>500</v>
      </c>
      <c r="J68" s="2">
        <v>2000</v>
      </c>
    </row>
    <row r="69" spans="2:10" x14ac:dyDescent="0.25">
      <c r="B69" s="2">
        <v>66</v>
      </c>
      <c r="C69" s="6">
        <v>45043</v>
      </c>
      <c r="D69" s="2" t="s">
        <v>86</v>
      </c>
      <c r="E69" s="2" t="s">
        <v>20</v>
      </c>
      <c r="F69" s="2">
        <v>45</v>
      </c>
      <c r="G69" s="2" t="s">
        <v>23</v>
      </c>
      <c r="H69" s="2">
        <v>1</v>
      </c>
      <c r="I69" s="2">
        <v>30</v>
      </c>
      <c r="J69" s="2">
        <v>30</v>
      </c>
    </row>
    <row r="70" spans="2:10" x14ac:dyDescent="0.25">
      <c r="B70" s="2">
        <v>67</v>
      </c>
      <c r="C70" s="6">
        <v>45075</v>
      </c>
      <c r="D70" s="2" t="s">
        <v>87</v>
      </c>
      <c r="E70" s="2" t="s">
        <v>20</v>
      </c>
      <c r="F70" s="2">
        <v>48</v>
      </c>
      <c r="G70" s="2" t="s">
        <v>18</v>
      </c>
      <c r="H70" s="2">
        <v>4</v>
      </c>
      <c r="I70" s="2">
        <v>300</v>
      </c>
      <c r="J70" s="2">
        <v>1200</v>
      </c>
    </row>
    <row r="71" spans="2:10" x14ac:dyDescent="0.25">
      <c r="B71" s="2">
        <v>68</v>
      </c>
      <c r="C71" s="6">
        <v>44967</v>
      </c>
      <c r="D71" s="2" t="s">
        <v>88</v>
      </c>
      <c r="E71" s="2" t="s">
        <v>17</v>
      </c>
      <c r="F71" s="2">
        <v>25</v>
      </c>
      <c r="G71" s="2" t="s">
        <v>23</v>
      </c>
      <c r="H71" s="2">
        <v>1</v>
      </c>
      <c r="I71" s="2">
        <v>300</v>
      </c>
      <c r="J71" s="2">
        <v>300</v>
      </c>
    </row>
    <row r="72" spans="2:10" x14ac:dyDescent="0.25">
      <c r="B72" s="2">
        <v>69</v>
      </c>
      <c r="C72" s="6">
        <v>45046</v>
      </c>
      <c r="D72" s="2" t="s">
        <v>89</v>
      </c>
      <c r="E72" s="2" t="s">
        <v>20</v>
      </c>
      <c r="F72" s="2">
        <v>56</v>
      </c>
      <c r="G72" s="2" t="s">
        <v>18</v>
      </c>
      <c r="H72" s="2">
        <v>3</v>
      </c>
      <c r="I72" s="2">
        <v>25</v>
      </c>
      <c r="J72" s="2">
        <v>75</v>
      </c>
    </row>
    <row r="73" spans="2:10" x14ac:dyDescent="0.25">
      <c r="B73" s="2">
        <v>70</v>
      </c>
      <c r="C73" s="6">
        <v>44978</v>
      </c>
      <c r="D73" s="2" t="s">
        <v>90</v>
      </c>
      <c r="E73" s="2" t="s">
        <v>20</v>
      </c>
      <c r="F73" s="2">
        <v>43</v>
      </c>
      <c r="G73" s="2" t="s">
        <v>21</v>
      </c>
      <c r="H73" s="2">
        <v>1</v>
      </c>
      <c r="I73" s="2">
        <v>300</v>
      </c>
      <c r="J73" s="2">
        <v>300</v>
      </c>
    </row>
    <row r="74" spans="2:10" x14ac:dyDescent="0.25">
      <c r="B74" s="2">
        <v>71</v>
      </c>
      <c r="C74" s="6">
        <v>45121</v>
      </c>
      <c r="D74" s="2" t="s">
        <v>91</v>
      </c>
      <c r="E74" s="2" t="s">
        <v>20</v>
      </c>
      <c r="F74" s="2">
        <v>51</v>
      </c>
      <c r="G74" s="2" t="s">
        <v>18</v>
      </c>
      <c r="H74" s="2">
        <v>4</v>
      </c>
      <c r="I74" s="2">
        <v>25</v>
      </c>
      <c r="J74" s="2">
        <v>100</v>
      </c>
    </row>
    <row r="75" spans="2:10" x14ac:dyDescent="0.25">
      <c r="B75" s="2">
        <v>72</v>
      </c>
      <c r="C75" s="6">
        <v>45069</v>
      </c>
      <c r="D75" s="2" t="s">
        <v>92</v>
      </c>
      <c r="E75" s="2" t="s">
        <v>20</v>
      </c>
      <c r="F75" s="2">
        <v>20</v>
      </c>
      <c r="G75" s="2" t="s">
        <v>23</v>
      </c>
      <c r="H75" s="2">
        <v>4</v>
      </c>
      <c r="I75" s="2">
        <v>500</v>
      </c>
      <c r="J75" s="2">
        <v>2000</v>
      </c>
    </row>
    <row r="76" spans="2:10" x14ac:dyDescent="0.25">
      <c r="B76" s="2">
        <v>73</v>
      </c>
      <c r="C76" s="6">
        <v>45159</v>
      </c>
      <c r="D76" s="2" t="s">
        <v>93</v>
      </c>
      <c r="E76" s="2" t="s">
        <v>17</v>
      </c>
      <c r="F76" s="2">
        <v>29</v>
      </c>
      <c r="G76" s="2" t="s">
        <v>23</v>
      </c>
      <c r="H76" s="2">
        <v>3</v>
      </c>
      <c r="I76" s="2">
        <v>30</v>
      </c>
      <c r="J76" s="2">
        <v>90</v>
      </c>
    </row>
    <row r="77" spans="2:10" x14ac:dyDescent="0.25">
      <c r="B77" s="2">
        <v>74</v>
      </c>
      <c r="C77" s="6">
        <v>45252</v>
      </c>
      <c r="D77" s="2" t="s">
        <v>94</v>
      </c>
      <c r="E77" s="2" t="s">
        <v>20</v>
      </c>
      <c r="F77" s="2">
        <v>18</v>
      </c>
      <c r="G77" s="2" t="s">
        <v>18</v>
      </c>
      <c r="H77" s="2">
        <v>4</v>
      </c>
      <c r="I77" s="2">
        <v>500</v>
      </c>
      <c r="J77" s="2">
        <v>2000</v>
      </c>
    </row>
    <row r="78" spans="2:10" x14ac:dyDescent="0.25">
      <c r="B78" s="2">
        <v>75</v>
      </c>
      <c r="C78" s="6">
        <v>45113</v>
      </c>
      <c r="D78" s="2" t="s">
        <v>95</v>
      </c>
      <c r="E78" s="2" t="s">
        <v>17</v>
      </c>
      <c r="F78" s="2">
        <v>61</v>
      </c>
      <c r="G78" s="2" t="s">
        <v>18</v>
      </c>
      <c r="H78" s="2">
        <v>4</v>
      </c>
      <c r="I78" s="2">
        <v>50</v>
      </c>
      <c r="J78" s="2">
        <v>200</v>
      </c>
    </row>
    <row r="79" spans="2:10" x14ac:dyDescent="0.25">
      <c r="B79" s="2">
        <v>76</v>
      </c>
      <c r="C79" s="6">
        <v>45010</v>
      </c>
      <c r="D79" s="2" t="s">
        <v>96</v>
      </c>
      <c r="E79" s="2" t="s">
        <v>20</v>
      </c>
      <c r="F79" s="2">
        <v>22</v>
      </c>
      <c r="G79" s="2" t="s">
        <v>23</v>
      </c>
      <c r="H79" s="2">
        <v>2</v>
      </c>
      <c r="I79" s="2">
        <v>50</v>
      </c>
      <c r="J79" s="2">
        <v>100</v>
      </c>
    </row>
    <row r="80" spans="2:10" x14ac:dyDescent="0.25">
      <c r="B80" s="2">
        <v>77</v>
      </c>
      <c r="C80" s="6">
        <v>45116</v>
      </c>
      <c r="D80" s="2" t="s">
        <v>97</v>
      </c>
      <c r="E80" s="2" t="s">
        <v>20</v>
      </c>
      <c r="F80" s="2">
        <v>47</v>
      </c>
      <c r="G80" s="2" t="s">
        <v>21</v>
      </c>
      <c r="H80" s="2">
        <v>2</v>
      </c>
      <c r="I80" s="2">
        <v>50</v>
      </c>
      <c r="J80" s="2">
        <v>100</v>
      </c>
    </row>
    <row r="81" spans="2:10" x14ac:dyDescent="0.25">
      <c r="B81" s="2">
        <v>78</v>
      </c>
      <c r="C81" s="6">
        <v>45108</v>
      </c>
      <c r="D81" s="2" t="s">
        <v>98</v>
      </c>
      <c r="E81" s="2" t="s">
        <v>20</v>
      </c>
      <c r="F81" s="2">
        <v>47</v>
      </c>
      <c r="G81" s="2" t="s">
        <v>21</v>
      </c>
      <c r="H81" s="2">
        <v>3</v>
      </c>
      <c r="I81" s="2">
        <v>500</v>
      </c>
      <c r="J81" s="2">
        <v>1500</v>
      </c>
    </row>
    <row r="82" spans="2:10" x14ac:dyDescent="0.25">
      <c r="B82" s="2">
        <v>79</v>
      </c>
      <c r="C82" s="6">
        <v>45034</v>
      </c>
      <c r="D82" s="2" t="s">
        <v>99</v>
      </c>
      <c r="E82" s="2" t="s">
        <v>17</v>
      </c>
      <c r="F82" s="2">
        <v>34</v>
      </c>
      <c r="G82" s="2" t="s">
        <v>18</v>
      </c>
      <c r="H82" s="2">
        <v>1</v>
      </c>
      <c r="I82" s="2">
        <v>300</v>
      </c>
      <c r="J82" s="2">
        <v>300</v>
      </c>
    </row>
    <row r="83" spans="2:10" x14ac:dyDescent="0.25">
      <c r="B83" s="2">
        <v>80</v>
      </c>
      <c r="C83" s="6">
        <v>45270</v>
      </c>
      <c r="D83" s="2" t="s">
        <v>100</v>
      </c>
      <c r="E83" s="2" t="s">
        <v>20</v>
      </c>
      <c r="F83" s="2">
        <v>64</v>
      </c>
      <c r="G83" s="2" t="s">
        <v>21</v>
      </c>
      <c r="H83" s="2">
        <v>2</v>
      </c>
      <c r="I83" s="2">
        <v>30</v>
      </c>
      <c r="J83" s="2">
        <v>60</v>
      </c>
    </row>
    <row r="84" spans="2:10" x14ac:dyDescent="0.25">
      <c r="B84" s="2">
        <v>81</v>
      </c>
      <c r="C84" s="6">
        <v>45063</v>
      </c>
      <c r="D84" s="2" t="s">
        <v>101</v>
      </c>
      <c r="E84" s="2" t="s">
        <v>17</v>
      </c>
      <c r="F84" s="2">
        <v>40</v>
      </c>
      <c r="G84" s="2" t="s">
        <v>23</v>
      </c>
      <c r="H84" s="2">
        <v>1</v>
      </c>
      <c r="I84" s="2">
        <v>50</v>
      </c>
      <c r="J84" s="2">
        <v>50</v>
      </c>
    </row>
    <row r="85" spans="2:10" x14ac:dyDescent="0.25">
      <c r="B85" s="2">
        <v>82</v>
      </c>
      <c r="C85" s="6">
        <v>45286</v>
      </c>
      <c r="D85" s="2" t="s">
        <v>102</v>
      </c>
      <c r="E85" s="2" t="s">
        <v>20</v>
      </c>
      <c r="F85" s="2">
        <v>32</v>
      </c>
      <c r="G85" s="2" t="s">
        <v>18</v>
      </c>
      <c r="H85" s="2">
        <v>4</v>
      </c>
      <c r="I85" s="2">
        <v>50</v>
      </c>
      <c r="J85" s="2">
        <v>200</v>
      </c>
    </row>
    <row r="86" spans="2:10" x14ac:dyDescent="0.25">
      <c r="B86" s="2">
        <v>83</v>
      </c>
      <c r="C86" s="6">
        <v>45276</v>
      </c>
      <c r="D86" s="2" t="s">
        <v>103</v>
      </c>
      <c r="E86" s="2" t="s">
        <v>17</v>
      </c>
      <c r="F86" s="2">
        <v>54</v>
      </c>
      <c r="G86" s="2" t="s">
        <v>23</v>
      </c>
      <c r="H86" s="2">
        <v>2</v>
      </c>
      <c r="I86" s="2">
        <v>50</v>
      </c>
      <c r="J86" s="2">
        <v>100</v>
      </c>
    </row>
    <row r="87" spans="2:10" x14ac:dyDescent="0.25">
      <c r="B87" s="2">
        <v>84</v>
      </c>
      <c r="C87" s="6">
        <v>45258</v>
      </c>
      <c r="D87" s="2" t="s">
        <v>104</v>
      </c>
      <c r="E87" s="2" t="s">
        <v>20</v>
      </c>
      <c r="F87" s="2">
        <v>38</v>
      </c>
      <c r="G87" s="2" t="s">
        <v>23</v>
      </c>
      <c r="H87" s="2">
        <v>3</v>
      </c>
      <c r="I87" s="2">
        <v>30</v>
      </c>
      <c r="J87" s="2">
        <v>90</v>
      </c>
    </row>
    <row r="88" spans="2:10" x14ac:dyDescent="0.25">
      <c r="B88" s="2">
        <v>85</v>
      </c>
      <c r="C88" s="6">
        <v>44963</v>
      </c>
      <c r="D88" s="2" t="s">
        <v>105</v>
      </c>
      <c r="E88" s="2" t="s">
        <v>17</v>
      </c>
      <c r="F88" s="2">
        <v>31</v>
      </c>
      <c r="G88" s="2" t="s">
        <v>21</v>
      </c>
      <c r="H88" s="2">
        <v>3</v>
      </c>
      <c r="I88" s="2">
        <v>50</v>
      </c>
      <c r="J88" s="2">
        <v>150</v>
      </c>
    </row>
    <row r="89" spans="2:10" x14ac:dyDescent="0.25">
      <c r="B89" s="2">
        <v>86</v>
      </c>
      <c r="C89" s="6">
        <v>45238</v>
      </c>
      <c r="D89" s="2" t="s">
        <v>106</v>
      </c>
      <c r="E89" s="2" t="s">
        <v>17</v>
      </c>
      <c r="F89" s="2">
        <v>19</v>
      </c>
      <c r="G89" s="2" t="s">
        <v>18</v>
      </c>
      <c r="H89" s="2">
        <v>3</v>
      </c>
      <c r="I89" s="2">
        <v>30</v>
      </c>
      <c r="J89" s="2">
        <v>90</v>
      </c>
    </row>
    <row r="90" spans="2:10" x14ac:dyDescent="0.25">
      <c r="B90" s="2">
        <v>87</v>
      </c>
      <c r="C90" s="6">
        <v>45252</v>
      </c>
      <c r="D90" s="2" t="s">
        <v>107</v>
      </c>
      <c r="E90" s="2" t="s">
        <v>20</v>
      </c>
      <c r="F90" s="2">
        <v>28</v>
      </c>
      <c r="G90" s="2" t="s">
        <v>18</v>
      </c>
      <c r="H90" s="2">
        <v>2</v>
      </c>
      <c r="I90" s="2">
        <v>50</v>
      </c>
      <c r="J90" s="2">
        <v>100</v>
      </c>
    </row>
    <row r="91" spans="2:10" x14ac:dyDescent="0.25">
      <c r="B91" s="2">
        <v>88</v>
      </c>
      <c r="C91" s="6">
        <v>45014</v>
      </c>
      <c r="D91" s="2" t="s">
        <v>108</v>
      </c>
      <c r="E91" s="2" t="s">
        <v>17</v>
      </c>
      <c r="F91" s="2">
        <v>56</v>
      </c>
      <c r="G91" s="2" t="s">
        <v>21</v>
      </c>
      <c r="H91" s="2">
        <v>1</v>
      </c>
      <c r="I91" s="2">
        <v>500</v>
      </c>
      <c r="J91" s="2">
        <v>500</v>
      </c>
    </row>
    <row r="92" spans="2:10" x14ac:dyDescent="0.25">
      <c r="B92" s="2">
        <v>89</v>
      </c>
      <c r="C92" s="6">
        <v>45200</v>
      </c>
      <c r="D92" s="2" t="s">
        <v>109</v>
      </c>
      <c r="E92" s="2" t="s">
        <v>20</v>
      </c>
      <c r="F92" s="2">
        <v>55</v>
      </c>
      <c r="G92" s="2" t="s">
        <v>23</v>
      </c>
      <c r="H92" s="2">
        <v>4</v>
      </c>
      <c r="I92" s="2">
        <v>500</v>
      </c>
      <c r="J92" s="2">
        <v>2000</v>
      </c>
    </row>
    <row r="93" spans="2:10" x14ac:dyDescent="0.25">
      <c r="B93" s="2">
        <v>90</v>
      </c>
      <c r="C93" s="6">
        <v>45052</v>
      </c>
      <c r="D93" s="2" t="s">
        <v>110</v>
      </c>
      <c r="E93" s="2" t="s">
        <v>20</v>
      </c>
      <c r="F93" s="2">
        <v>51</v>
      </c>
      <c r="G93" s="2" t="s">
        <v>23</v>
      </c>
      <c r="H93" s="2">
        <v>1</v>
      </c>
      <c r="I93" s="2">
        <v>30</v>
      </c>
      <c r="J93" s="2">
        <v>30</v>
      </c>
    </row>
    <row r="94" spans="2:10" x14ac:dyDescent="0.25">
      <c r="B94" s="2">
        <v>91</v>
      </c>
      <c r="C94" s="6">
        <v>45010</v>
      </c>
      <c r="D94" s="2" t="s">
        <v>111</v>
      </c>
      <c r="E94" s="2" t="s">
        <v>20</v>
      </c>
      <c r="F94" s="2">
        <v>55</v>
      </c>
      <c r="G94" s="2" t="s">
        <v>23</v>
      </c>
      <c r="H94" s="2">
        <v>1</v>
      </c>
      <c r="I94" s="2">
        <v>500</v>
      </c>
      <c r="J94" s="2">
        <v>500</v>
      </c>
    </row>
    <row r="95" spans="2:10" x14ac:dyDescent="0.25">
      <c r="B95" s="2">
        <v>92</v>
      </c>
      <c r="C95" s="6">
        <v>45163</v>
      </c>
      <c r="D95" s="2" t="s">
        <v>112</v>
      </c>
      <c r="E95" s="2" t="s">
        <v>20</v>
      </c>
      <c r="F95" s="2">
        <v>51</v>
      </c>
      <c r="G95" s="2" t="s">
        <v>23</v>
      </c>
      <c r="H95" s="2">
        <v>4</v>
      </c>
      <c r="I95" s="2">
        <v>30</v>
      </c>
      <c r="J95" s="2">
        <v>120</v>
      </c>
    </row>
    <row r="96" spans="2:10" x14ac:dyDescent="0.25">
      <c r="B96" s="2">
        <v>93</v>
      </c>
      <c r="C96" s="6">
        <v>45121</v>
      </c>
      <c r="D96" s="2" t="s">
        <v>113</v>
      </c>
      <c r="E96" s="2" t="s">
        <v>20</v>
      </c>
      <c r="F96" s="2">
        <v>35</v>
      </c>
      <c r="G96" s="2" t="s">
        <v>18</v>
      </c>
      <c r="H96" s="2">
        <v>4</v>
      </c>
      <c r="I96" s="2">
        <v>500</v>
      </c>
      <c r="J96" s="2">
        <v>2000</v>
      </c>
    </row>
    <row r="97" spans="2:10" x14ac:dyDescent="0.25">
      <c r="B97" s="2">
        <v>94</v>
      </c>
      <c r="C97" s="6">
        <v>45065</v>
      </c>
      <c r="D97" s="2" t="s">
        <v>114</v>
      </c>
      <c r="E97" s="2" t="s">
        <v>20</v>
      </c>
      <c r="F97" s="2">
        <v>47</v>
      </c>
      <c r="G97" s="2" t="s">
        <v>18</v>
      </c>
      <c r="H97" s="2">
        <v>2</v>
      </c>
      <c r="I97" s="2">
        <v>500</v>
      </c>
      <c r="J97" s="2">
        <v>1000</v>
      </c>
    </row>
    <row r="98" spans="2:10" x14ac:dyDescent="0.25">
      <c r="B98" s="2">
        <v>95</v>
      </c>
      <c r="C98" s="6">
        <v>45254</v>
      </c>
      <c r="D98" s="2" t="s">
        <v>115</v>
      </c>
      <c r="E98" s="2" t="s">
        <v>20</v>
      </c>
      <c r="F98" s="2">
        <v>32</v>
      </c>
      <c r="G98" s="2" t="s">
        <v>21</v>
      </c>
      <c r="H98" s="2">
        <v>2</v>
      </c>
      <c r="I98" s="2">
        <v>30</v>
      </c>
      <c r="J98" s="2">
        <v>60</v>
      </c>
    </row>
    <row r="99" spans="2:10" x14ac:dyDescent="0.25">
      <c r="B99" s="2">
        <v>96</v>
      </c>
      <c r="C99" s="6">
        <v>45279</v>
      </c>
      <c r="D99" s="2" t="s">
        <v>116</v>
      </c>
      <c r="E99" s="2" t="s">
        <v>20</v>
      </c>
      <c r="F99" s="2">
        <v>44</v>
      </c>
      <c r="G99" s="2" t="s">
        <v>21</v>
      </c>
      <c r="H99" s="2">
        <v>2</v>
      </c>
      <c r="I99" s="2">
        <v>300</v>
      </c>
      <c r="J99" s="2">
        <v>600</v>
      </c>
    </row>
    <row r="100" spans="2:10" x14ac:dyDescent="0.25">
      <c r="B100" s="2">
        <v>97</v>
      </c>
      <c r="C100" s="6">
        <v>45212</v>
      </c>
      <c r="D100" s="2" t="s">
        <v>117</v>
      </c>
      <c r="E100" s="2" t="s">
        <v>20</v>
      </c>
      <c r="F100" s="2">
        <v>51</v>
      </c>
      <c r="G100" s="2" t="s">
        <v>18</v>
      </c>
      <c r="H100" s="2">
        <v>2</v>
      </c>
      <c r="I100" s="2">
        <v>500</v>
      </c>
      <c r="J100" s="2">
        <v>1000</v>
      </c>
    </row>
    <row r="101" spans="2:10" x14ac:dyDescent="0.25">
      <c r="B101" s="2">
        <v>98</v>
      </c>
      <c r="C101" s="6">
        <v>45039</v>
      </c>
      <c r="D101" s="2" t="s">
        <v>118</v>
      </c>
      <c r="E101" s="2" t="s">
        <v>20</v>
      </c>
      <c r="F101" s="2">
        <v>55</v>
      </c>
      <c r="G101" s="2" t="s">
        <v>18</v>
      </c>
      <c r="H101" s="2">
        <v>2</v>
      </c>
      <c r="I101" s="2">
        <v>50</v>
      </c>
      <c r="J101" s="2">
        <v>100</v>
      </c>
    </row>
    <row r="102" spans="2:10" x14ac:dyDescent="0.25">
      <c r="B102" s="2">
        <v>99</v>
      </c>
      <c r="C102" s="6">
        <v>45277</v>
      </c>
      <c r="D102" s="2" t="s">
        <v>119</v>
      </c>
      <c r="E102" s="2" t="s">
        <v>20</v>
      </c>
      <c r="F102" s="2">
        <v>50</v>
      </c>
      <c r="G102" s="2" t="s">
        <v>23</v>
      </c>
      <c r="H102" s="2">
        <v>4</v>
      </c>
      <c r="I102" s="2">
        <v>300</v>
      </c>
      <c r="J102" s="2">
        <v>1200</v>
      </c>
    </row>
    <row r="103" spans="2:10" x14ac:dyDescent="0.25">
      <c r="B103" s="2">
        <v>100</v>
      </c>
      <c r="C103" s="6">
        <v>45093</v>
      </c>
      <c r="D103" s="2" t="s">
        <v>120</v>
      </c>
      <c r="E103" s="2" t="s">
        <v>17</v>
      </c>
      <c r="F103" s="2">
        <v>41</v>
      </c>
      <c r="G103" s="2" t="s">
        <v>23</v>
      </c>
      <c r="H103" s="2">
        <v>1</v>
      </c>
      <c r="I103" s="2">
        <v>30</v>
      </c>
      <c r="J103" s="2">
        <v>30</v>
      </c>
    </row>
    <row r="104" spans="2:10" x14ac:dyDescent="0.25">
      <c r="B104" s="2">
        <v>101</v>
      </c>
      <c r="C104" s="6">
        <v>44955</v>
      </c>
      <c r="D104" s="2" t="s">
        <v>121</v>
      </c>
      <c r="E104" s="2" t="s">
        <v>17</v>
      </c>
      <c r="F104" s="2">
        <v>32</v>
      </c>
      <c r="G104" s="2" t="s">
        <v>21</v>
      </c>
      <c r="H104" s="2">
        <v>2</v>
      </c>
      <c r="I104" s="2">
        <v>300</v>
      </c>
      <c r="J104" s="2">
        <v>600</v>
      </c>
    </row>
    <row r="105" spans="2:10" x14ac:dyDescent="0.25">
      <c r="B105" s="2">
        <v>102</v>
      </c>
      <c r="C105" s="6">
        <v>45044</v>
      </c>
      <c r="D105" s="2" t="s">
        <v>122</v>
      </c>
      <c r="E105" s="2" t="s">
        <v>20</v>
      </c>
      <c r="F105" s="2">
        <v>47</v>
      </c>
      <c r="G105" s="2" t="s">
        <v>18</v>
      </c>
      <c r="H105" s="2">
        <v>2</v>
      </c>
      <c r="I105" s="2">
        <v>25</v>
      </c>
      <c r="J105" s="2">
        <v>50</v>
      </c>
    </row>
    <row r="106" spans="2:10" x14ac:dyDescent="0.25">
      <c r="B106" s="2">
        <v>103</v>
      </c>
      <c r="C106" s="6">
        <v>44943</v>
      </c>
      <c r="D106" s="2" t="s">
        <v>123</v>
      </c>
      <c r="E106" s="2" t="s">
        <v>20</v>
      </c>
      <c r="F106" s="2">
        <v>59</v>
      </c>
      <c r="G106" s="2" t="s">
        <v>21</v>
      </c>
      <c r="H106" s="2">
        <v>1</v>
      </c>
      <c r="I106" s="2">
        <v>25</v>
      </c>
      <c r="J106" s="2">
        <v>25</v>
      </c>
    </row>
    <row r="107" spans="2:10" x14ac:dyDescent="0.25">
      <c r="B107" s="2">
        <v>104</v>
      </c>
      <c r="C107" s="6">
        <v>45088</v>
      </c>
      <c r="D107" s="2" t="s">
        <v>124</v>
      </c>
      <c r="E107" s="2" t="s">
        <v>20</v>
      </c>
      <c r="F107" s="2">
        <v>34</v>
      </c>
      <c r="G107" s="2" t="s">
        <v>18</v>
      </c>
      <c r="H107" s="2">
        <v>2</v>
      </c>
      <c r="I107" s="2">
        <v>500</v>
      </c>
      <c r="J107" s="2">
        <v>1000</v>
      </c>
    </row>
    <row r="108" spans="2:10" x14ac:dyDescent="0.25">
      <c r="B108" s="2">
        <v>105</v>
      </c>
      <c r="C108" s="6">
        <v>45132</v>
      </c>
      <c r="D108" s="2" t="s">
        <v>125</v>
      </c>
      <c r="E108" s="2" t="s">
        <v>20</v>
      </c>
      <c r="F108" s="2">
        <v>22</v>
      </c>
      <c r="G108" s="2" t="s">
        <v>23</v>
      </c>
      <c r="H108" s="2">
        <v>1</v>
      </c>
      <c r="I108" s="2">
        <v>500</v>
      </c>
      <c r="J108" s="2">
        <v>500</v>
      </c>
    </row>
    <row r="109" spans="2:10" x14ac:dyDescent="0.25">
      <c r="B109" s="2">
        <v>106</v>
      </c>
      <c r="C109" s="6">
        <v>45064</v>
      </c>
      <c r="D109" s="2" t="s">
        <v>126</v>
      </c>
      <c r="E109" s="2" t="s">
        <v>20</v>
      </c>
      <c r="F109" s="2">
        <v>46</v>
      </c>
      <c r="G109" s="2" t="s">
        <v>21</v>
      </c>
      <c r="H109" s="2">
        <v>1</v>
      </c>
      <c r="I109" s="2">
        <v>50</v>
      </c>
      <c r="J109" s="2">
        <v>50</v>
      </c>
    </row>
    <row r="110" spans="2:10" x14ac:dyDescent="0.25">
      <c r="B110" s="2">
        <v>107</v>
      </c>
      <c r="C110" s="6">
        <v>44960</v>
      </c>
      <c r="D110" s="2" t="s">
        <v>127</v>
      </c>
      <c r="E110" s="2" t="s">
        <v>20</v>
      </c>
      <c r="F110" s="2">
        <v>21</v>
      </c>
      <c r="G110" s="2" t="s">
        <v>21</v>
      </c>
      <c r="H110" s="2">
        <v>4</v>
      </c>
      <c r="I110" s="2">
        <v>300</v>
      </c>
      <c r="J110" s="2">
        <v>1200</v>
      </c>
    </row>
    <row r="111" spans="2:10" x14ac:dyDescent="0.25">
      <c r="B111" s="2">
        <v>108</v>
      </c>
      <c r="C111" s="6">
        <v>45035</v>
      </c>
      <c r="D111" s="2" t="s">
        <v>128</v>
      </c>
      <c r="E111" s="2" t="s">
        <v>20</v>
      </c>
      <c r="F111" s="2">
        <v>27</v>
      </c>
      <c r="G111" s="2" t="s">
        <v>18</v>
      </c>
      <c r="H111" s="2">
        <v>3</v>
      </c>
      <c r="I111" s="2">
        <v>25</v>
      </c>
      <c r="J111" s="2">
        <v>75</v>
      </c>
    </row>
    <row r="112" spans="2:10" x14ac:dyDescent="0.25">
      <c r="B112" s="2">
        <v>109</v>
      </c>
      <c r="C112" s="6">
        <v>45217</v>
      </c>
      <c r="D112" s="2" t="s">
        <v>129</v>
      </c>
      <c r="E112" s="2" t="s">
        <v>20</v>
      </c>
      <c r="F112" s="2">
        <v>34</v>
      </c>
      <c r="G112" s="2" t="s">
        <v>23</v>
      </c>
      <c r="H112" s="2">
        <v>4</v>
      </c>
      <c r="I112" s="2">
        <v>500</v>
      </c>
      <c r="J112" s="2">
        <v>2000</v>
      </c>
    </row>
    <row r="113" spans="2:10" x14ac:dyDescent="0.25">
      <c r="B113" s="2">
        <v>110</v>
      </c>
      <c r="C113" s="6">
        <v>45088</v>
      </c>
      <c r="D113" s="2" t="s">
        <v>130</v>
      </c>
      <c r="E113" s="2" t="s">
        <v>17</v>
      </c>
      <c r="F113" s="2">
        <v>27</v>
      </c>
      <c r="G113" s="2" t="s">
        <v>21</v>
      </c>
      <c r="H113" s="2">
        <v>3</v>
      </c>
      <c r="I113" s="2">
        <v>300</v>
      </c>
      <c r="J113" s="2">
        <v>900</v>
      </c>
    </row>
    <row r="114" spans="2:10" x14ac:dyDescent="0.25">
      <c r="B114" s="2">
        <v>111</v>
      </c>
      <c r="C114" s="6">
        <v>45035</v>
      </c>
      <c r="D114" s="2" t="s">
        <v>131</v>
      </c>
      <c r="E114" s="2" t="s">
        <v>20</v>
      </c>
      <c r="F114" s="2">
        <v>34</v>
      </c>
      <c r="G114" s="2" t="s">
        <v>23</v>
      </c>
      <c r="H114" s="2">
        <v>3</v>
      </c>
      <c r="I114" s="2">
        <v>500</v>
      </c>
      <c r="J114" s="2">
        <v>1500</v>
      </c>
    </row>
    <row r="115" spans="2:10" x14ac:dyDescent="0.25">
      <c r="B115" s="2">
        <v>112</v>
      </c>
      <c r="C115" s="6">
        <v>45262</v>
      </c>
      <c r="D115" s="2" t="s">
        <v>132</v>
      </c>
      <c r="E115" s="2" t="s">
        <v>17</v>
      </c>
      <c r="F115" s="2">
        <v>37</v>
      </c>
      <c r="G115" s="2" t="s">
        <v>21</v>
      </c>
      <c r="H115" s="2">
        <v>3</v>
      </c>
      <c r="I115" s="2">
        <v>500</v>
      </c>
      <c r="J115" s="2">
        <v>1500</v>
      </c>
    </row>
    <row r="116" spans="2:10" x14ac:dyDescent="0.25">
      <c r="B116" s="2">
        <v>113</v>
      </c>
      <c r="C116" s="6">
        <v>45182</v>
      </c>
      <c r="D116" s="2" t="s">
        <v>133</v>
      </c>
      <c r="E116" s="2" t="s">
        <v>20</v>
      </c>
      <c r="F116" s="2">
        <v>41</v>
      </c>
      <c r="G116" s="2" t="s">
        <v>23</v>
      </c>
      <c r="H116" s="2">
        <v>2</v>
      </c>
      <c r="I116" s="2">
        <v>25</v>
      </c>
      <c r="J116" s="2">
        <v>50</v>
      </c>
    </row>
    <row r="117" spans="2:10" x14ac:dyDescent="0.25">
      <c r="B117" s="2">
        <v>114</v>
      </c>
      <c r="C117" s="6">
        <v>45129</v>
      </c>
      <c r="D117" s="2" t="s">
        <v>134</v>
      </c>
      <c r="E117" s="2" t="s">
        <v>20</v>
      </c>
      <c r="F117" s="2">
        <v>22</v>
      </c>
      <c r="G117" s="2" t="s">
        <v>18</v>
      </c>
      <c r="H117" s="2">
        <v>4</v>
      </c>
      <c r="I117" s="2">
        <v>25</v>
      </c>
      <c r="J117" s="2">
        <v>100</v>
      </c>
    </row>
    <row r="118" spans="2:10" x14ac:dyDescent="0.25">
      <c r="B118" s="2">
        <v>115</v>
      </c>
      <c r="C118" s="6">
        <v>45256</v>
      </c>
      <c r="D118" s="2" t="s">
        <v>135</v>
      </c>
      <c r="E118" s="2" t="s">
        <v>17</v>
      </c>
      <c r="F118" s="2">
        <v>51</v>
      </c>
      <c r="G118" s="2" t="s">
        <v>21</v>
      </c>
      <c r="H118" s="2">
        <v>3</v>
      </c>
      <c r="I118" s="2">
        <v>500</v>
      </c>
      <c r="J118" s="2">
        <v>1500</v>
      </c>
    </row>
    <row r="119" spans="2:10" x14ac:dyDescent="0.25">
      <c r="B119" s="2">
        <v>116</v>
      </c>
      <c r="C119" s="6">
        <v>45161</v>
      </c>
      <c r="D119" s="2" t="s">
        <v>136</v>
      </c>
      <c r="E119" s="2" t="s">
        <v>20</v>
      </c>
      <c r="F119" s="2">
        <v>23</v>
      </c>
      <c r="G119" s="2" t="s">
        <v>21</v>
      </c>
      <c r="H119" s="2">
        <v>1</v>
      </c>
      <c r="I119" s="2">
        <v>30</v>
      </c>
      <c r="J119" s="2">
        <v>30</v>
      </c>
    </row>
    <row r="120" spans="2:10" x14ac:dyDescent="0.25">
      <c r="B120" s="2">
        <v>117</v>
      </c>
      <c r="C120" s="6">
        <v>45000</v>
      </c>
      <c r="D120" s="2" t="s">
        <v>137</v>
      </c>
      <c r="E120" s="2" t="s">
        <v>17</v>
      </c>
      <c r="F120" s="2">
        <v>19</v>
      </c>
      <c r="G120" s="2" t="s">
        <v>23</v>
      </c>
      <c r="H120" s="2">
        <v>2</v>
      </c>
      <c r="I120" s="2">
        <v>500</v>
      </c>
      <c r="J120" s="2">
        <v>1000</v>
      </c>
    </row>
    <row r="121" spans="2:10" x14ac:dyDescent="0.25">
      <c r="B121" s="2">
        <v>118</v>
      </c>
      <c r="C121" s="6">
        <v>45062</v>
      </c>
      <c r="D121" s="2" t="s">
        <v>138</v>
      </c>
      <c r="E121" s="2" t="s">
        <v>20</v>
      </c>
      <c r="F121" s="2">
        <v>30</v>
      </c>
      <c r="G121" s="2" t="s">
        <v>23</v>
      </c>
      <c r="H121" s="2">
        <v>4</v>
      </c>
      <c r="I121" s="2">
        <v>500</v>
      </c>
      <c r="J121" s="2">
        <v>2000</v>
      </c>
    </row>
    <row r="122" spans="2:10" x14ac:dyDescent="0.25">
      <c r="B122" s="2">
        <v>119</v>
      </c>
      <c r="C122" s="6">
        <v>44998</v>
      </c>
      <c r="D122" s="2" t="s">
        <v>139</v>
      </c>
      <c r="E122" s="2" t="s">
        <v>20</v>
      </c>
      <c r="F122" s="2">
        <v>60</v>
      </c>
      <c r="G122" s="2" t="s">
        <v>21</v>
      </c>
      <c r="H122" s="2">
        <v>3</v>
      </c>
      <c r="I122" s="2">
        <v>50</v>
      </c>
      <c r="J122" s="2">
        <v>150</v>
      </c>
    </row>
    <row r="123" spans="2:10" x14ac:dyDescent="0.25">
      <c r="B123" s="2">
        <v>120</v>
      </c>
      <c r="C123" s="6">
        <v>45053</v>
      </c>
      <c r="D123" s="2" t="s">
        <v>140</v>
      </c>
      <c r="E123" s="2" t="s">
        <v>17</v>
      </c>
      <c r="F123" s="2">
        <v>60</v>
      </c>
      <c r="G123" s="2" t="s">
        <v>18</v>
      </c>
      <c r="H123" s="2">
        <v>1</v>
      </c>
      <c r="I123" s="2">
        <v>50</v>
      </c>
      <c r="J123" s="2">
        <v>50</v>
      </c>
    </row>
    <row r="124" spans="2:10" x14ac:dyDescent="0.25">
      <c r="B124" s="2">
        <v>121</v>
      </c>
      <c r="C124" s="6">
        <v>45214</v>
      </c>
      <c r="D124" s="2" t="s">
        <v>141</v>
      </c>
      <c r="E124" s="2" t="s">
        <v>20</v>
      </c>
      <c r="F124" s="2">
        <v>28</v>
      </c>
      <c r="G124" s="2" t="s">
        <v>23</v>
      </c>
      <c r="H124" s="2">
        <v>4</v>
      </c>
      <c r="I124" s="2">
        <v>50</v>
      </c>
      <c r="J124" s="2">
        <v>200</v>
      </c>
    </row>
    <row r="125" spans="2:10" x14ac:dyDescent="0.25">
      <c r="B125" s="2">
        <v>122</v>
      </c>
      <c r="C125" s="6">
        <v>45202</v>
      </c>
      <c r="D125" s="2" t="s">
        <v>142</v>
      </c>
      <c r="E125" s="2" t="s">
        <v>17</v>
      </c>
      <c r="F125" s="2">
        <v>64</v>
      </c>
      <c r="G125" s="2" t="s">
        <v>23</v>
      </c>
      <c r="H125" s="2">
        <v>4</v>
      </c>
      <c r="I125" s="2">
        <v>30</v>
      </c>
      <c r="J125" s="2">
        <v>120</v>
      </c>
    </row>
    <row r="126" spans="2:10" x14ac:dyDescent="0.25">
      <c r="B126" s="2">
        <v>123</v>
      </c>
      <c r="C126" s="6">
        <v>45061</v>
      </c>
      <c r="D126" s="2" t="s">
        <v>143</v>
      </c>
      <c r="E126" s="2" t="s">
        <v>20</v>
      </c>
      <c r="F126" s="2">
        <v>40</v>
      </c>
      <c r="G126" s="2" t="s">
        <v>23</v>
      </c>
      <c r="H126" s="2">
        <v>2</v>
      </c>
      <c r="I126" s="2">
        <v>30</v>
      </c>
      <c r="J126" s="2">
        <v>60</v>
      </c>
    </row>
    <row r="127" spans="2:10" x14ac:dyDescent="0.25">
      <c r="B127" s="2">
        <v>124</v>
      </c>
      <c r="C127" s="6">
        <v>45226</v>
      </c>
      <c r="D127" s="2" t="s">
        <v>144</v>
      </c>
      <c r="E127" s="2" t="s">
        <v>17</v>
      </c>
      <c r="F127" s="2">
        <v>33</v>
      </c>
      <c r="G127" s="2" t="s">
        <v>21</v>
      </c>
      <c r="H127" s="2">
        <v>4</v>
      </c>
      <c r="I127" s="2">
        <v>500</v>
      </c>
      <c r="J127" s="2">
        <v>2000</v>
      </c>
    </row>
    <row r="128" spans="2:10" x14ac:dyDescent="0.25">
      <c r="B128" s="2">
        <v>125</v>
      </c>
      <c r="C128" s="6">
        <v>45146</v>
      </c>
      <c r="D128" s="2" t="s">
        <v>145</v>
      </c>
      <c r="E128" s="2" t="s">
        <v>17</v>
      </c>
      <c r="F128" s="2">
        <v>48</v>
      </c>
      <c r="G128" s="2" t="s">
        <v>21</v>
      </c>
      <c r="H128" s="2">
        <v>2</v>
      </c>
      <c r="I128" s="2">
        <v>50</v>
      </c>
      <c r="J128" s="2">
        <v>100</v>
      </c>
    </row>
    <row r="129" spans="2:10" x14ac:dyDescent="0.25">
      <c r="B129" s="2">
        <v>126</v>
      </c>
      <c r="C129" s="6">
        <v>45225</v>
      </c>
      <c r="D129" s="2" t="s">
        <v>146</v>
      </c>
      <c r="E129" s="2" t="s">
        <v>20</v>
      </c>
      <c r="F129" s="2">
        <v>28</v>
      </c>
      <c r="G129" s="2" t="s">
        <v>21</v>
      </c>
      <c r="H129" s="2">
        <v>3</v>
      </c>
      <c r="I129" s="2">
        <v>30</v>
      </c>
      <c r="J129" s="2">
        <v>90</v>
      </c>
    </row>
    <row r="130" spans="2:10" x14ac:dyDescent="0.25">
      <c r="B130" s="2">
        <v>127</v>
      </c>
      <c r="C130" s="6">
        <v>45131</v>
      </c>
      <c r="D130" s="2" t="s">
        <v>147</v>
      </c>
      <c r="E130" s="2" t="s">
        <v>20</v>
      </c>
      <c r="F130" s="2">
        <v>33</v>
      </c>
      <c r="G130" s="2" t="s">
        <v>21</v>
      </c>
      <c r="H130" s="2">
        <v>2</v>
      </c>
      <c r="I130" s="2">
        <v>25</v>
      </c>
      <c r="J130" s="2">
        <v>50</v>
      </c>
    </row>
    <row r="131" spans="2:10" x14ac:dyDescent="0.25">
      <c r="B131" s="2">
        <v>128</v>
      </c>
      <c r="C131" s="6">
        <v>45112</v>
      </c>
      <c r="D131" s="2" t="s">
        <v>148</v>
      </c>
      <c r="E131" s="2" t="s">
        <v>17</v>
      </c>
      <c r="F131" s="2">
        <v>25</v>
      </c>
      <c r="G131" s="2" t="s">
        <v>18</v>
      </c>
      <c r="H131" s="2">
        <v>1</v>
      </c>
      <c r="I131" s="2">
        <v>500</v>
      </c>
      <c r="J131" s="2">
        <v>500</v>
      </c>
    </row>
    <row r="132" spans="2:10" x14ac:dyDescent="0.25">
      <c r="B132" s="2">
        <v>129</v>
      </c>
      <c r="C132" s="6">
        <v>45039</v>
      </c>
      <c r="D132" s="2" t="s">
        <v>149</v>
      </c>
      <c r="E132" s="2" t="s">
        <v>20</v>
      </c>
      <c r="F132" s="2">
        <v>21</v>
      </c>
      <c r="G132" s="2" t="s">
        <v>18</v>
      </c>
      <c r="H132" s="2">
        <v>2</v>
      </c>
      <c r="I132" s="2">
        <v>300</v>
      </c>
      <c r="J132" s="2">
        <v>600</v>
      </c>
    </row>
    <row r="133" spans="2:10" x14ac:dyDescent="0.25">
      <c r="B133" s="2">
        <v>130</v>
      </c>
      <c r="C133" s="6">
        <v>44997</v>
      </c>
      <c r="D133" s="2" t="s">
        <v>150</v>
      </c>
      <c r="E133" s="2" t="s">
        <v>20</v>
      </c>
      <c r="F133" s="2">
        <v>57</v>
      </c>
      <c r="G133" s="2" t="s">
        <v>21</v>
      </c>
      <c r="H133" s="2">
        <v>1</v>
      </c>
      <c r="I133" s="2">
        <v>500</v>
      </c>
      <c r="J133" s="2">
        <v>500</v>
      </c>
    </row>
    <row r="134" spans="2:10" x14ac:dyDescent="0.25">
      <c r="B134" s="2">
        <v>131</v>
      </c>
      <c r="C134" s="6">
        <v>45187</v>
      </c>
      <c r="D134" s="2" t="s">
        <v>151</v>
      </c>
      <c r="E134" s="2" t="s">
        <v>20</v>
      </c>
      <c r="F134" s="2">
        <v>21</v>
      </c>
      <c r="G134" s="2" t="s">
        <v>18</v>
      </c>
      <c r="H134" s="2">
        <v>2</v>
      </c>
      <c r="I134" s="2">
        <v>300</v>
      </c>
      <c r="J134" s="2">
        <v>600</v>
      </c>
    </row>
    <row r="135" spans="2:10" x14ac:dyDescent="0.25">
      <c r="B135" s="2">
        <v>132</v>
      </c>
      <c r="C135" s="6">
        <v>45179</v>
      </c>
      <c r="D135" s="2" t="s">
        <v>152</v>
      </c>
      <c r="E135" s="2" t="s">
        <v>17</v>
      </c>
      <c r="F135" s="2">
        <v>42</v>
      </c>
      <c r="G135" s="2" t="s">
        <v>23</v>
      </c>
      <c r="H135" s="2">
        <v>4</v>
      </c>
      <c r="I135" s="2">
        <v>50</v>
      </c>
      <c r="J135" s="2">
        <v>200</v>
      </c>
    </row>
    <row r="136" spans="2:10" x14ac:dyDescent="0.25">
      <c r="B136" s="2">
        <v>133</v>
      </c>
      <c r="C136" s="6">
        <v>44973</v>
      </c>
      <c r="D136" s="2" t="s">
        <v>153</v>
      </c>
      <c r="E136" s="2" t="s">
        <v>17</v>
      </c>
      <c r="F136" s="2">
        <v>20</v>
      </c>
      <c r="G136" s="2" t="s">
        <v>23</v>
      </c>
      <c r="H136" s="2">
        <v>3</v>
      </c>
      <c r="I136" s="2">
        <v>300</v>
      </c>
      <c r="J136" s="2">
        <v>900</v>
      </c>
    </row>
    <row r="137" spans="2:10" x14ac:dyDescent="0.25">
      <c r="B137" s="2">
        <v>134</v>
      </c>
      <c r="C137" s="6">
        <v>44951</v>
      </c>
      <c r="D137" s="2" t="s">
        <v>154</v>
      </c>
      <c r="E137" s="2" t="s">
        <v>17</v>
      </c>
      <c r="F137" s="2">
        <v>49</v>
      </c>
      <c r="G137" s="2" t="s">
        <v>23</v>
      </c>
      <c r="H137" s="2">
        <v>1</v>
      </c>
      <c r="I137" s="2">
        <v>50</v>
      </c>
      <c r="J137" s="2">
        <v>50</v>
      </c>
    </row>
    <row r="138" spans="2:10" x14ac:dyDescent="0.25">
      <c r="B138" s="2">
        <v>135</v>
      </c>
      <c r="C138" s="6">
        <v>44983</v>
      </c>
      <c r="D138" s="2" t="s">
        <v>155</v>
      </c>
      <c r="E138" s="2" t="s">
        <v>17</v>
      </c>
      <c r="F138" s="2">
        <v>20</v>
      </c>
      <c r="G138" s="2" t="s">
        <v>21</v>
      </c>
      <c r="H138" s="2">
        <v>2</v>
      </c>
      <c r="I138" s="2">
        <v>25</v>
      </c>
      <c r="J138" s="2">
        <v>50</v>
      </c>
    </row>
    <row r="139" spans="2:10" x14ac:dyDescent="0.25">
      <c r="B139" s="2">
        <v>136</v>
      </c>
      <c r="C139" s="6">
        <v>45005</v>
      </c>
      <c r="D139" s="2" t="s">
        <v>156</v>
      </c>
      <c r="E139" s="2" t="s">
        <v>17</v>
      </c>
      <c r="F139" s="2">
        <v>44</v>
      </c>
      <c r="G139" s="2" t="s">
        <v>23</v>
      </c>
      <c r="H139" s="2">
        <v>2</v>
      </c>
      <c r="I139" s="2">
        <v>300</v>
      </c>
      <c r="J139" s="2">
        <v>600</v>
      </c>
    </row>
    <row r="140" spans="2:10" x14ac:dyDescent="0.25">
      <c r="B140" s="2">
        <v>137</v>
      </c>
      <c r="C140" s="6">
        <v>45248</v>
      </c>
      <c r="D140" s="2" t="s">
        <v>157</v>
      </c>
      <c r="E140" s="2" t="s">
        <v>17</v>
      </c>
      <c r="F140" s="2">
        <v>46</v>
      </c>
      <c r="G140" s="2" t="s">
        <v>18</v>
      </c>
      <c r="H140" s="2">
        <v>2</v>
      </c>
      <c r="I140" s="2">
        <v>500</v>
      </c>
      <c r="J140" s="2">
        <v>1000</v>
      </c>
    </row>
    <row r="141" spans="2:10" x14ac:dyDescent="0.25">
      <c r="B141" s="2">
        <v>138</v>
      </c>
      <c r="C141" s="6">
        <v>45008</v>
      </c>
      <c r="D141" s="2" t="s">
        <v>158</v>
      </c>
      <c r="E141" s="2" t="s">
        <v>17</v>
      </c>
      <c r="F141" s="2">
        <v>49</v>
      </c>
      <c r="G141" s="2" t="s">
        <v>21</v>
      </c>
      <c r="H141" s="2">
        <v>4</v>
      </c>
      <c r="I141" s="2">
        <v>50</v>
      </c>
      <c r="J141" s="2">
        <v>200</v>
      </c>
    </row>
    <row r="142" spans="2:10" x14ac:dyDescent="0.25">
      <c r="B142" s="2">
        <v>139</v>
      </c>
      <c r="C142" s="6">
        <v>45275</v>
      </c>
      <c r="D142" s="2" t="s">
        <v>159</v>
      </c>
      <c r="E142" s="2" t="s">
        <v>17</v>
      </c>
      <c r="F142" s="2">
        <v>36</v>
      </c>
      <c r="G142" s="2" t="s">
        <v>18</v>
      </c>
      <c r="H142" s="2">
        <v>4</v>
      </c>
      <c r="I142" s="2">
        <v>500</v>
      </c>
      <c r="J142" s="2">
        <v>2000</v>
      </c>
    </row>
    <row r="143" spans="2:10" x14ac:dyDescent="0.25">
      <c r="B143" s="2">
        <v>140</v>
      </c>
      <c r="C143" s="6">
        <v>45143</v>
      </c>
      <c r="D143" s="2" t="s">
        <v>160</v>
      </c>
      <c r="E143" s="2" t="s">
        <v>17</v>
      </c>
      <c r="F143" s="2">
        <v>38</v>
      </c>
      <c r="G143" s="2" t="s">
        <v>23</v>
      </c>
      <c r="H143" s="2">
        <v>1</v>
      </c>
      <c r="I143" s="2">
        <v>30</v>
      </c>
      <c r="J143" s="2">
        <v>30</v>
      </c>
    </row>
    <row r="144" spans="2:10" x14ac:dyDescent="0.25">
      <c r="B144" s="2">
        <v>141</v>
      </c>
      <c r="C144" s="6">
        <v>45232</v>
      </c>
      <c r="D144" s="2" t="s">
        <v>161</v>
      </c>
      <c r="E144" s="2" t="s">
        <v>20</v>
      </c>
      <c r="F144" s="2">
        <v>22</v>
      </c>
      <c r="G144" s="2" t="s">
        <v>23</v>
      </c>
      <c r="H144" s="2">
        <v>1</v>
      </c>
      <c r="I144" s="2">
        <v>50</v>
      </c>
      <c r="J144" s="2">
        <v>50</v>
      </c>
    </row>
    <row r="145" spans="2:10" x14ac:dyDescent="0.25">
      <c r="B145" s="2">
        <v>142</v>
      </c>
      <c r="C145" s="6">
        <v>44959</v>
      </c>
      <c r="D145" s="2" t="s">
        <v>162</v>
      </c>
      <c r="E145" s="2" t="s">
        <v>17</v>
      </c>
      <c r="F145" s="2">
        <v>35</v>
      </c>
      <c r="G145" s="2" t="s">
        <v>23</v>
      </c>
      <c r="H145" s="2">
        <v>4</v>
      </c>
      <c r="I145" s="2">
        <v>300</v>
      </c>
      <c r="J145" s="2">
        <v>1200</v>
      </c>
    </row>
    <row r="146" spans="2:10" x14ac:dyDescent="0.25">
      <c r="B146" s="2">
        <v>143</v>
      </c>
      <c r="C146" s="6">
        <v>45124</v>
      </c>
      <c r="D146" s="2" t="s">
        <v>163</v>
      </c>
      <c r="E146" s="2" t="s">
        <v>20</v>
      </c>
      <c r="F146" s="2">
        <v>45</v>
      </c>
      <c r="G146" s="2" t="s">
        <v>21</v>
      </c>
      <c r="H146" s="2">
        <v>1</v>
      </c>
      <c r="I146" s="2">
        <v>50</v>
      </c>
      <c r="J146" s="2">
        <v>50</v>
      </c>
    </row>
    <row r="147" spans="2:10" x14ac:dyDescent="0.25">
      <c r="B147" s="2">
        <v>144</v>
      </c>
      <c r="C147" s="6">
        <v>45122</v>
      </c>
      <c r="D147" s="2" t="s">
        <v>164</v>
      </c>
      <c r="E147" s="2" t="s">
        <v>20</v>
      </c>
      <c r="F147" s="2">
        <v>59</v>
      </c>
      <c r="G147" s="2" t="s">
        <v>18</v>
      </c>
      <c r="H147" s="2">
        <v>3</v>
      </c>
      <c r="I147" s="2">
        <v>500</v>
      </c>
      <c r="J147" s="2">
        <v>1500</v>
      </c>
    </row>
    <row r="148" spans="2:10" x14ac:dyDescent="0.25">
      <c r="B148" s="2">
        <v>145</v>
      </c>
      <c r="C148" s="6">
        <v>45232</v>
      </c>
      <c r="D148" s="2" t="s">
        <v>165</v>
      </c>
      <c r="E148" s="2" t="s">
        <v>20</v>
      </c>
      <c r="F148" s="2">
        <v>39</v>
      </c>
      <c r="G148" s="2" t="s">
        <v>21</v>
      </c>
      <c r="H148" s="2">
        <v>3</v>
      </c>
      <c r="I148" s="2">
        <v>25</v>
      </c>
      <c r="J148" s="2">
        <v>75</v>
      </c>
    </row>
    <row r="149" spans="2:10" x14ac:dyDescent="0.25">
      <c r="B149" s="2">
        <v>146</v>
      </c>
      <c r="C149" s="6">
        <v>45166</v>
      </c>
      <c r="D149" s="2" t="s">
        <v>166</v>
      </c>
      <c r="E149" s="2" t="s">
        <v>17</v>
      </c>
      <c r="F149" s="2">
        <v>38</v>
      </c>
      <c r="G149" s="2" t="s">
        <v>21</v>
      </c>
      <c r="H149" s="2">
        <v>4</v>
      </c>
      <c r="I149" s="2">
        <v>50</v>
      </c>
      <c r="J149" s="2">
        <v>200</v>
      </c>
    </row>
    <row r="150" spans="2:10" x14ac:dyDescent="0.25">
      <c r="B150" s="2">
        <v>147</v>
      </c>
      <c r="C150" s="6">
        <v>45197</v>
      </c>
      <c r="D150" s="2" t="s">
        <v>167</v>
      </c>
      <c r="E150" s="2" t="s">
        <v>17</v>
      </c>
      <c r="F150" s="2">
        <v>23</v>
      </c>
      <c r="G150" s="2" t="s">
        <v>23</v>
      </c>
      <c r="H150" s="2">
        <v>1</v>
      </c>
      <c r="I150" s="2">
        <v>300</v>
      </c>
      <c r="J150" s="2">
        <v>300</v>
      </c>
    </row>
    <row r="151" spans="2:10" x14ac:dyDescent="0.25">
      <c r="B151" s="2">
        <v>148</v>
      </c>
      <c r="C151" s="6">
        <v>45055</v>
      </c>
      <c r="D151" s="2" t="s">
        <v>168</v>
      </c>
      <c r="E151" s="2" t="s">
        <v>17</v>
      </c>
      <c r="F151" s="2">
        <v>18</v>
      </c>
      <c r="G151" s="2" t="s">
        <v>21</v>
      </c>
      <c r="H151" s="2">
        <v>2</v>
      </c>
      <c r="I151" s="2">
        <v>30</v>
      </c>
      <c r="J151" s="2">
        <v>60</v>
      </c>
    </row>
    <row r="152" spans="2:10" x14ac:dyDescent="0.25">
      <c r="B152" s="2">
        <v>149</v>
      </c>
      <c r="C152" s="6">
        <v>45210</v>
      </c>
      <c r="D152" s="2" t="s">
        <v>169</v>
      </c>
      <c r="E152" s="2" t="s">
        <v>17</v>
      </c>
      <c r="F152" s="2">
        <v>22</v>
      </c>
      <c r="G152" s="2" t="s">
        <v>21</v>
      </c>
      <c r="H152" s="2">
        <v>3</v>
      </c>
      <c r="I152" s="2">
        <v>25</v>
      </c>
      <c r="J152" s="2">
        <v>75</v>
      </c>
    </row>
    <row r="153" spans="2:10" x14ac:dyDescent="0.25">
      <c r="B153" s="2">
        <v>150</v>
      </c>
      <c r="C153" s="6">
        <v>44932</v>
      </c>
      <c r="D153" s="2" t="s">
        <v>170</v>
      </c>
      <c r="E153" s="2" t="s">
        <v>20</v>
      </c>
      <c r="F153" s="2">
        <v>58</v>
      </c>
      <c r="G153" s="2" t="s">
        <v>23</v>
      </c>
      <c r="H153" s="2">
        <v>4</v>
      </c>
      <c r="I153" s="2">
        <v>30</v>
      </c>
      <c r="J153" s="2">
        <v>120</v>
      </c>
    </row>
    <row r="154" spans="2:10" x14ac:dyDescent="0.25">
      <c r="B154" s="2">
        <v>151</v>
      </c>
      <c r="C154" s="6">
        <v>45275</v>
      </c>
      <c r="D154" s="2" t="s">
        <v>171</v>
      </c>
      <c r="E154" s="2" t="s">
        <v>17</v>
      </c>
      <c r="F154" s="2">
        <v>29</v>
      </c>
      <c r="G154" s="2" t="s">
        <v>21</v>
      </c>
      <c r="H154" s="2">
        <v>1</v>
      </c>
      <c r="I154" s="2">
        <v>50</v>
      </c>
      <c r="J154" s="2">
        <v>50</v>
      </c>
    </row>
    <row r="155" spans="2:10" x14ac:dyDescent="0.25">
      <c r="B155" s="2">
        <v>152</v>
      </c>
      <c r="C155" s="6">
        <v>44985</v>
      </c>
      <c r="D155" s="2" t="s">
        <v>172</v>
      </c>
      <c r="E155" s="2" t="s">
        <v>17</v>
      </c>
      <c r="F155" s="2">
        <v>43</v>
      </c>
      <c r="G155" s="2" t="s">
        <v>23</v>
      </c>
      <c r="H155" s="2">
        <v>4</v>
      </c>
      <c r="I155" s="2">
        <v>500</v>
      </c>
      <c r="J155" s="2">
        <v>2000</v>
      </c>
    </row>
    <row r="156" spans="2:10" x14ac:dyDescent="0.25">
      <c r="B156" s="2">
        <v>153</v>
      </c>
      <c r="C156" s="6">
        <v>45276</v>
      </c>
      <c r="D156" s="2" t="s">
        <v>173</v>
      </c>
      <c r="E156" s="2" t="s">
        <v>17</v>
      </c>
      <c r="F156" s="2">
        <v>63</v>
      </c>
      <c r="G156" s="2" t="s">
        <v>23</v>
      </c>
      <c r="H156" s="2">
        <v>2</v>
      </c>
      <c r="I156" s="2">
        <v>500</v>
      </c>
      <c r="J156" s="2">
        <v>1000</v>
      </c>
    </row>
    <row r="157" spans="2:10" x14ac:dyDescent="0.25">
      <c r="B157" s="2">
        <v>154</v>
      </c>
      <c r="C157" s="6">
        <v>45201</v>
      </c>
      <c r="D157" s="2" t="s">
        <v>174</v>
      </c>
      <c r="E157" s="2" t="s">
        <v>17</v>
      </c>
      <c r="F157" s="2">
        <v>51</v>
      </c>
      <c r="G157" s="2" t="s">
        <v>23</v>
      </c>
      <c r="H157" s="2">
        <v>3</v>
      </c>
      <c r="I157" s="2">
        <v>300</v>
      </c>
      <c r="J157" s="2">
        <v>900</v>
      </c>
    </row>
    <row r="158" spans="2:10" x14ac:dyDescent="0.25">
      <c r="B158" s="2">
        <v>155</v>
      </c>
      <c r="C158" s="6">
        <v>45063</v>
      </c>
      <c r="D158" s="2" t="s">
        <v>175</v>
      </c>
      <c r="E158" s="2" t="s">
        <v>17</v>
      </c>
      <c r="F158" s="2">
        <v>31</v>
      </c>
      <c r="G158" s="2" t="s">
        <v>23</v>
      </c>
      <c r="H158" s="2">
        <v>4</v>
      </c>
      <c r="I158" s="2">
        <v>500</v>
      </c>
      <c r="J158" s="2">
        <v>2000</v>
      </c>
    </row>
    <row r="159" spans="2:10" x14ac:dyDescent="0.25">
      <c r="B159" s="2">
        <v>156</v>
      </c>
      <c r="C159" s="6">
        <v>45255</v>
      </c>
      <c r="D159" s="2" t="s">
        <v>176</v>
      </c>
      <c r="E159" s="2" t="s">
        <v>20</v>
      </c>
      <c r="F159" s="2">
        <v>43</v>
      </c>
      <c r="G159" s="2" t="s">
        <v>21</v>
      </c>
      <c r="H159" s="2">
        <v>4</v>
      </c>
      <c r="I159" s="2">
        <v>25</v>
      </c>
      <c r="J159" s="2">
        <v>100</v>
      </c>
    </row>
    <row r="160" spans="2:10" x14ac:dyDescent="0.25">
      <c r="B160" s="2">
        <v>157</v>
      </c>
      <c r="C160" s="6">
        <v>45101</v>
      </c>
      <c r="D160" s="2" t="s">
        <v>177</v>
      </c>
      <c r="E160" s="2" t="s">
        <v>17</v>
      </c>
      <c r="F160" s="2">
        <v>62</v>
      </c>
      <c r="G160" s="2" t="s">
        <v>23</v>
      </c>
      <c r="H160" s="2">
        <v>4</v>
      </c>
      <c r="I160" s="2">
        <v>500</v>
      </c>
      <c r="J160" s="2">
        <v>2000</v>
      </c>
    </row>
    <row r="161" spans="2:10" x14ac:dyDescent="0.25">
      <c r="B161" s="2">
        <v>158</v>
      </c>
      <c r="C161" s="6">
        <v>44984</v>
      </c>
      <c r="D161" s="2" t="s">
        <v>178</v>
      </c>
      <c r="E161" s="2" t="s">
        <v>20</v>
      </c>
      <c r="F161" s="2">
        <v>44</v>
      </c>
      <c r="G161" s="2" t="s">
        <v>23</v>
      </c>
      <c r="H161" s="2">
        <v>2</v>
      </c>
      <c r="I161" s="2">
        <v>300</v>
      </c>
      <c r="J161" s="2">
        <v>600</v>
      </c>
    </row>
    <row r="162" spans="2:10" x14ac:dyDescent="0.25">
      <c r="B162" s="2">
        <v>159</v>
      </c>
      <c r="C162" s="6">
        <v>45077</v>
      </c>
      <c r="D162" s="2" t="s">
        <v>179</v>
      </c>
      <c r="E162" s="2" t="s">
        <v>17</v>
      </c>
      <c r="F162" s="2">
        <v>26</v>
      </c>
      <c r="G162" s="2" t="s">
        <v>21</v>
      </c>
      <c r="H162" s="2">
        <v>4</v>
      </c>
      <c r="I162" s="2">
        <v>50</v>
      </c>
      <c r="J162" s="2">
        <v>200</v>
      </c>
    </row>
    <row r="163" spans="2:10" x14ac:dyDescent="0.25">
      <c r="B163" s="2">
        <v>160</v>
      </c>
      <c r="C163" s="6">
        <v>45149</v>
      </c>
      <c r="D163" s="2" t="s">
        <v>180</v>
      </c>
      <c r="E163" s="2" t="s">
        <v>20</v>
      </c>
      <c r="F163" s="2">
        <v>43</v>
      </c>
      <c r="G163" s="2" t="s">
        <v>21</v>
      </c>
      <c r="H163" s="2">
        <v>2</v>
      </c>
      <c r="I163" s="2">
        <v>50</v>
      </c>
      <c r="J163" s="2">
        <v>100</v>
      </c>
    </row>
    <row r="164" spans="2:10" x14ac:dyDescent="0.25">
      <c r="B164" s="2">
        <v>161</v>
      </c>
      <c r="C164" s="6">
        <v>45007</v>
      </c>
      <c r="D164" s="2" t="s">
        <v>181</v>
      </c>
      <c r="E164" s="2" t="s">
        <v>17</v>
      </c>
      <c r="F164" s="2">
        <v>64</v>
      </c>
      <c r="G164" s="2" t="s">
        <v>18</v>
      </c>
      <c r="H164" s="2">
        <v>2</v>
      </c>
      <c r="I164" s="2">
        <v>500</v>
      </c>
      <c r="J164" s="2">
        <v>1000</v>
      </c>
    </row>
    <row r="165" spans="2:10" x14ac:dyDescent="0.25">
      <c r="B165" s="2">
        <v>162</v>
      </c>
      <c r="C165" s="6">
        <v>45159</v>
      </c>
      <c r="D165" s="2" t="s">
        <v>182</v>
      </c>
      <c r="E165" s="2" t="s">
        <v>17</v>
      </c>
      <c r="F165" s="2">
        <v>39</v>
      </c>
      <c r="G165" s="2" t="s">
        <v>21</v>
      </c>
      <c r="H165" s="2">
        <v>2</v>
      </c>
      <c r="I165" s="2">
        <v>30</v>
      </c>
      <c r="J165" s="2">
        <v>60</v>
      </c>
    </row>
    <row r="166" spans="2:10" x14ac:dyDescent="0.25">
      <c r="B166" s="2">
        <v>163</v>
      </c>
      <c r="C166" s="6">
        <v>44928</v>
      </c>
      <c r="D166" s="2" t="s">
        <v>183</v>
      </c>
      <c r="E166" s="2" t="s">
        <v>20</v>
      </c>
      <c r="F166" s="2">
        <v>64</v>
      </c>
      <c r="G166" s="2" t="s">
        <v>21</v>
      </c>
      <c r="H166" s="2">
        <v>3</v>
      </c>
      <c r="I166" s="2">
        <v>50</v>
      </c>
      <c r="J166" s="2">
        <v>150</v>
      </c>
    </row>
    <row r="167" spans="2:10" x14ac:dyDescent="0.25">
      <c r="B167" s="2">
        <v>164</v>
      </c>
      <c r="C167" s="6">
        <v>45061</v>
      </c>
      <c r="D167" s="2" t="s">
        <v>184</v>
      </c>
      <c r="E167" s="2" t="s">
        <v>20</v>
      </c>
      <c r="F167" s="2">
        <v>47</v>
      </c>
      <c r="G167" s="2" t="s">
        <v>18</v>
      </c>
      <c r="H167" s="2">
        <v>3</v>
      </c>
      <c r="I167" s="2">
        <v>500</v>
      </c>
      <c r="J167" s="2">
        <v>1500</v>
      </c>
    </row>
    <row r="168" spans="2:10" x14ac:dyDescent="0.25">
      <c r="B168" s="2">
        <v>165</v>
      </c>
      <c r="C168" s="6">
        <v>45183</v>
      </c>
      <c r="D168" s="2" t="s">
        <v>185</v>
      </c>
      <c r="E168" s="2" t="s">
        <v>20</v>
      </c>
      <c r="F168" s="2">
        <v>60</v>
      </c>
      <c r="G168" s="2" t="s">
        <v>21</v>
      </c>
      <c r="H168" s="2">
        <v>4</v>
      </c>
      <c r="I168" s="2">
        <v>300</v>
      </c>
      <c r="J168" s="2">
        <v>1200</v>
      </c>
    </row>
    <row r="169" spans="2:10" x14ac:dyDescent="0.25">
      <c r="B169" s="2">
        <v>166</v>
      </c>
      <c r="C169" s="6">
        <v>45018</v>
      </c>
      <c r="D169" s="2" t="s">
        <v>186</v>
      </c>
      <c r="E169" s="2" t="s">
        <v>17</v>
      </c>
      <c r="F169" s="2">
        <v>34</v>
      </c>
      <c r="G169" s="2" t="s">
        <v>21</v>
      </c>
      <c r="H169" s="2">
        <v>4</v>
      </c>
      <c r="I169" s="2">
        <v>500</v>
      </c>
      <c r="J169" s="2">
        <v>2000</v>
      </c>
    </row>
    <row r="170" spans="2:10" x14ac:dyDescent="0.25">
      <c r="B170" s="2">
        <v>167</v>
      </c>
      <c r="C170" s="6">
        <v>45186</v>
      </c>
      <c r="D170" s="2" t="s">
        <v>187</v>
      </c>
      <c r="E170" s="2" t="s">
        <v>20</v>
      </c>
      <c r="F170" s="2">
        <v>43</v>
      </c>
      <c r="G170" s="2" t="s">
        <v>21</v>
      </c>
      <c r="H170" s="2">
        <v>3</v>
      </c>
      <c r="I170" s="2">
        <v>50</v>
      </c>
      <c r="J170" s="2">
        <v>150</v>
      </c>
    </row>
    <row r="171" spans="2:10" x14ac:dyDescent="0.25">
      <c r="B171" s="2">
        <v>168</v>
      </c>
      <c r="C171" s="6">
        <v>44981</v>
      </c>
      <c r="D171" s="2" t="s">
        <v>188</v>
      </c>
      <c r="E171" s="2" t="s">
        <v>17</v>
      </c>
      <c r="F171" s="2">
        <v>53</v>
      </c>
      <c r="G171" s="2" t="s">
        <v>21</v>
      </c>
      <c r="H171" s="2">
        <v>1</v>
      </c>
      <c r="I171" s="2">
        <v>300</v>
      </c>
      <c r="J171" s="2">
        <v>300</v>
      </c>
    </row>
    <row r="172" spans="2:10" x14ac:dyDescent="0.25">
      <c r="B172" s="2">
        <v>169</v>
      </c>
      <c r="C172" s="6">
        <v>45247</v>
      </c>
      <c r="D172" s="2" t="s">
        <v>189</v>
      </c>
      <c r="E172" s="2" t="s">
        <v>17</v>
      </c>
      <c r="F172" s="2">
        <v>18</v>
      </c>
      <c r="G172" s="2" t="s">
        <v>18</v>
      </c>
      <c r="H172" s="2">
        <v>3</v>
      </c>
      <c r="I172" s="2">
        <v>500</v>
      </c>
      <c r="J172" s="2">
        <v>1500</v>
      </c>
    </row>
    <row r="173" spans="2:10" x14ac:dyDescent="0.25">
      <c r="B173" s="2">
        <v>170</v>
      </c>
      <c r="C173" s="6">
        <v>45079</v>
      </c>
      <c r="D173" s="2" t="s">
        <v>190</v>
      </c>
      <c r="E173" s="2" t="s">
        <v>20</v>
      </c>
      <c r="F173" s="2">
        <v>25</v>
      </c>
      <c r="G173" s="2" t="s">
        <v>21</v>
      </c>
      <c r="H173" s="2">
        <v>2</v>
      </c>
      <c r="I173" s="2">
        <v>25</v>
      </c>
      <c r="J173" s="2">
        <v>50</v>
      </c>
    </row>
    <row r="174" spans="2:10" x14ac:dyDescent="0.25">
      <c r="B174" s="2">
        <v>171</v>
      </c>
      <c r="C174" s="6">
        <v>45254</v>
      </c>
      <c r="D174" s="2" t="s">
        <v>191</v>
      </c>
      <c r="E174" s="2" t="s">
        <v>20</v>
      </c>
      <c r="F174" s="2">
        <v>52</v>
      </c>
      <c r="G174" s="2" t="s">
        <v>21</v>
      </c>
      <c r="H174" s="2">
        <v>3</v>
      </c>
      <c r="I174" s="2">
        <v>300</v>
      </c>
      <c r="J174" s="2">
        <v>900</v>
      </c>
    </row>
    <row r="175" spans="2:10" x14ac:dyDescent="0.25">
      <c r="B175" s="2">
        <v>172</v>
      </c>
      <c r="C175" s="6">
        <v>45186</v>
      </c>
      <c r="D175" s="2" t="s">
        <v>192</v>
      </c>
      <c r="E175" s="2" t="s">
        <v>17</v>
      </c>
      <c r="F175" s="2">
        <v>32</v>
      </c>
      <c r="G175" s="2" t="s">
        <v>18</v>
      </c>
      <c r="H175" s="2">
        <v>2</v>
      </c>
      <c r="I175" s="2">
        <v>25</v>
      </c>
      <c r="J175" s="2">
        <v>50</v>
      </c>
    </row>
    <row r="176" spans="2:10" x14ac:dyDescent="0.25">
      <c r="B176" s="2">
        <v>173</v>
      </c>
      <c r="C176" s="6">
        <v>45238</v>
      </c>
      <c r="D176" s="2" t="s">
        <v>193</v>
      </c>
      <c r="E176" s="2" t="s">
        <v>17</v>
      </c>
      <c r="F176" s="2">
        <v>64</v>
      </c>
      <c r="G176" s="2" t="s">
        <v>23</v>
      </c>
      <c r="H176" s="2">
        <v>4</v>
      </c>
      <c r="I176" s="2">
        <v>30</v>
      </c>
      <c r="J176" s="2">
        <v>120</v>
      </c>
    </row>
    <row r="177" spans="2:10" x14ac:dyDescent="0.25">
      <c r="B177" s="2">
        <v>174</v>
      </c>
      <c r="C177" s="6">
        <v>45028</v>
      </c>
      <c r="D177" s="2" t="s">
        <v>194</v>
      </c>
      <c r="E177" s="2" t="s">
        <v>20</v>
      </c>
      <c r="F177" s="2">
        <v>39</v>
      </c>
      <c r="G177" s="2" t="s">
        <v>18</v>
      </c>
      <c r="H177" s="2">
        <v>1</v>
      </c>
      <c r="I177" s="2">
        <v>300</v>
      </c>
      <c r="J177" s="2">
        <v>300</v>
      </c>
    </row>
    <row r="178" spans="2:10" x14ac:dyDescent="0.25">
      <c r="B178" s="2">
        <v>175</v>
      </c>
      <c r="C178" s="6">
        <v>45005</v>
      </c>
      <c r="D178" s="2" t="s">
        <v>195</v>
      </c>
      <c r="E178" s="2" t="s">
        <v>20</v>
      </c>
      <c r="F178" s="2">
        <v>31</v>
      </c>
      <c r="G178" s="2" t="s">
        <v>23</v>
      </c>
      <c r="H178" s="2">
        <v>4</v>
      </c>
      <c r="I178" s="2">
        <v>25</v>
      </c>
      <c r="J178" s="2">
        <v>100</v>
      </c>
    </row>
    <row r="179" spans="2:10" x14ac:dyDescent="0.25">
      <c r="B179" s="2">
        <v>176</v>
      </c>
      <c r="C179" s="6">
        <v>45118</v>
      </c>
      <c r="D179" s="2" t="s">
        <v>196</v>
      </c>
      <c r="E179" s="2" t="s">
        <v>20</v>
      </c>
      <c r="F179" s="2">
        <v>43</v>
      </c>
      <c r="G179" s="2" t="s">
        <v>18</v>
      </c>
      <c r="H179" s="2">
        <v>2</v>
      </c>
      <c r="I179" s="2">
        <v>50</v>
      </c>
      <c r="J179" s="2">
        <v>100</v>
      </c>
    </row>
    <row r="180" spans="2:10" x14ac:dyDescent="0.25">
      <c r="B180" s="2">
        <v>177</v>
      </c>
      <c r="C180" s="6">
        <v>45009</v>
      </c>
      <c r="D180" s="2" t="s">
        <v>197</v>
      </c>
      <c r="E180" s="2" t="s">
        <v>17</v>
      </c>
      <c r="F180" s="2">
        <v>45</v>
      </c>
      <c r="G180" s="2" t="s">
        <v>18</v>
      </c>
      <c r="H180" s="2">
        <v>2</v>
      </c>
      <c r="I180" s="2">
        <v>50</v>
      </c>
      <c r="J180" s="2">
        <v>100</v>
      </c>
    </row>
    <row r="181" spans="2:10" x14ac:dyDescent="0.25">
      <c r="B181" s="2">
        <v>178</v>
      </c>
      <c r="C181" s="6">
        <v>45203</v>
      </c>
      <c r="D181" s="2" t="s">
        <v>198</v>
      </c>
      <c r="E181" s="2" t="s">
        <v>17</v>
      </c>
      <c r="F181" s="2">
        <v>40</v>
      </c>
      <c r="G181" s="2" t="s">
        <v>21</v>
      </c>
      <c r="H181" s="2">
        <v>2</v>
      </c>
      <c r="I181" s="2">
        <v>30</v>
      </c>
      <c r="J181" s="2">
        <v>60</v>
      </c>
    </row>
    <row r="182" spans="2:10" x14ac:dyDescent="0.25">
      <c r="B182" s="2">
        <v>179</v>
      </c>
      <c r="C182" s="6">
        <v>45198</v>
      </c>
      <c r="D182" s="2" t="s">
        <v>199</v>
      </c>
      <c r="E182" s="2" t="s">
        <v>17</v>
      </c>
      <c r="F182" s="2">
        <v>31</v>
      </c>
      <c r="G182" s="2" t="s">
        <v>23</v>
      </c>
      <c r="H182" s="2">
        <v>1</v>
      </c>
      <c r="I182" s="2">
        <v>300</v>
      </c>
      <c r="J182" s="2">
        <v>300</v>
      </c>
    </row>
    <row r="183" spans="2:10" x14ac:dyDescent="0.25">
      <c r="B183" s="2">
        <v>180</v>
      </c>
      <c r="C183" s="6">
        <v>44927</v>
      </c>
      <c r="D183" s="2" t="s">
        <v>200</v>
      </c>
      <c r="E183" s="2" t="s">
        <v>17</v>
      </c>
      <c r="F183" s="2">
        <v>41</v>
      </c>
      <c r="G183" s="2" t="s">
        <v>21</v>
      </c>
      <c r="H183" s="2">
        <v>3</v>
      </c>
      <c r="I183" s="2">
        <v>300</v>
      </c>
      <c r="J183" s="2">
        <v>900</v>
      </c>
    </row>
    <row r="184" spans="2:10" x14ac:dyDescent="0.25">
      <c r="B184" s="2">
        <v>181</v>
      </c>
      <c r="C184" s="6">
        <v>45233</v>
      </c>
      <c r="D184" s="2" t="s">
        <v>201</v>
      </c>
      <c r="E184" s="2" t="s">
        <v>17</v>
      </c>
      <c r="F184" s="2">
        <v>19</v>
      </c>
      <c r="G184" s="2" t="s">
        <v>23</v>
      </c>
      <c r="H184" s="2">
        <v>4</v>
      </c>
      <c r="I184" s="2">
        <v>300</v>
      </c>
      <c r="J184" s="2">
        <v>1200</v>
      </c>
    </row>
    <row r="185" spans="2:10" x14ac:dyDescent="0.25">
      <c r="B185" s="2">
        <v>182</v>
      </c>
      <c r="C185" s="6">
        <v>45092</v>
      </c>
      <c r="D185" s="2" t="s">
        <v>202</v>
      </c>
      <c r="E185" s="2" t="s">
        <v>17</v>
      </c>
      <c r="F185" s="2">
        <v>62</v>
      </c>
      <c r="G185" s="2" t="s">
        <v>18</v>
      </c>
      <c r="H185" s="2">
        <v>4</v>
      </c>
      <c r="I185" s="2">
        <v>30</v>
      </c>
      <c r="J185" s="2">
        <v>120</v>
      </c>
    </row>
    <row r="186" spans="2:10" x14ac:dyDescent="0.25">
      <c r="B186" s="2">
        <v>183</v>
      </c>
      <c r="C186" s="6">
        <v>45177</v>
      </c>
      <c r="D186" s="2" t="s">
        <v>203</v>
      </c>
      <c r="E186" s="2" t="s">
        <v>20</v>
      </c>
      <c r="F186" s="2">
        <v>43</v>
      </c>
      <c r="G186" s="2" t="s">
        <v>18</v>
      </c>
      <c r="H186" s="2">
        <v>3</v>
      </c>
      <c r="I186" s="2">
        <v>300</v>
      </c>
      <c r="J186" s="2">
        <v>900</v>
      </c>
    </row>
    <row r="187" spans="2:10" x14ac:dyDescent="0.25">
      <c r="B187" s="2">
        <v>184</v>
      </c>
      <c r="C187" s="6">
        <v>44936</v>
      </c>
      <c r="D187" s="2" t="s">
        <v>204</v>
      </c>
      <c r="E187" s="2" t="s">
        <v>17</v>
      </c>
      <c r="F187" s="2">
        <v>31</v>
      </c>
      <c r="G187" s="2" t="s">
        <v>23</v>
      </c>
      <c r="H187" s="2">
        <v>4</v>
      </c>
      <c r="I187" s="2">
        <v>50</v>
      </c>
      <c r="J187" s="2">
        <v>200</v>
      </c>
    </row>
    <row r="188" spans="2:10" x14ac:dyDescent="0.25">
      <c r="B188" s="2">
        <v>185</v>
      </c>
      <c r="C188" s="6">
        <v>44984</v>
      </c>
      <c r="D188" s="2" t="s">
        <v>205</v>
      </c>
      <c r="E188" s="2" t="s">
        <v>17</v>
      </c>
      <c r="F188" s="2">
        <v>24</v>
      </c>
      <c r="G188" s="2" t="s">
        <v>21</v>
      </c>
      <c r="H188" s="2">
        <v>1</v>
      </c>
      <c r="I188" s="2">
        <v>25</v>
      </c>
      <c r="J188" s="2">
        <v>25</v>
      </c>
    </row>
    <row r="189" spans="2:10" x14ac:dyDescent="0.25">
      <c r="B189" s="2">
        <v>186</v>
      </c>
      <c r="C189" s="6">
        <v>45112</v>
      </c>
      <c r="D189" s="2" t="s">
        <v>206</v>
      </c>
      <c r="E189" s="2" t="s">
        <v>17</v>
      </c>
      <c r="F189" s="2">
        <v>20</v>
      </c>
      <c r="G189" s="2" t="s">
        <v>21</v>
      </c>
      <c r="H189" s="2">
        <v>4</v>
      </c>
      <c r="I189" s="2">
        <v>50</v>
      </c>
      <c r="J189" s="2">
        <v>200</v>
      </c>
    </row>
    <row r="190" spans="2:10" x14ac:dyDescent="0.25">
      <c r="B190" s="2">
        <v>187</v>
      </c>
      <c r="C190" s="6">
        <v>45084</v>
      </c>
      <c r="D190" s="2" t="s">
        <v>207</v>
      </c>
      <c r="E190" s="2" t="s">
        <v>20</v>
      </c>
      <c r="F190" s="2">
        <v>64</v>
      </c>
      <c r="G190" s="2" t="s">
        <v>21</v>
      </c>
      <c r="H190" s="2">
        <v>2</v>
      </c>
      <c r="I190" s="2">
        <v>50</v>
      </c>
      <c r="J190" s="2">
        <v>100</v>
      </c>
    </row>
    <row r="191" spans="2:10" x14ac:dyDescent="0.25">
      <c r="B191" s="2">
        <v>188</v>
      </c>
      <c r="C191" s="6">
        <v>45049</v>
      </c>
      <c r="D191" s="2" t="s">
        <v>208</v>
      </c>
      <c r="E191" s="2" t="s">
        <v>17</v>
      </c>
      <c r="F191" s="2">
        <v>40</v>
      </c>
      <c r="G191" s="2" t="s">
        <v>21</v>
      </c>
      <c r="H191" s="2">
        <v>3</v>
      </c>
      <c r="I191" s="2">
        <v>25</v>
      </c>
      <c r="J191" s="2">
        <v>75</v>
      </c>
    </row>
    <row r="192" spans="2:10" x14ac:dyDescent="0.25">
      <c r="B192" s="2">
        <v>189</v>
      </c>
      <c r="C192" s="6">
        <v>44956</v>
      </c>
      <c r="D192" s="2" t="s">
        <v>209</v>
      </c>
      <c r="E192" s="2" t="s">
        <v>17</v>
      </c>
      <c r="F192" s="2">
        <v>63</v>
      </c>
      <c r="G192" s="2" t="s">
        <v>18</v>
      </c>
      <c r="H192" s="2">
        <v>1</v>
      </c>
      <c r="I192" s="2">
        <v>50</v>
      </c>
      <c r="J192" s="2">
        <v>50</v>
      </c>
    </row>
    <row r="193" spans="2:10" x14ac:dyDescent="0.25">
      <c r="B193" s="2">
        <v>190</v>
      </c>
      <c r="C193" s="6">
        <v>45050</v>
      </c>
      <c r="D193" s="2" t="s">
        <v>210</v>
      </c>
      <c r="E193" s="2" t="s">
        <v>20</v>
      </c>
      <c r="F193" s="2">
        <v>60</v>
      </c>
      <c r="G193" s="2" t="s">
        <v>18</v>
      </c>
      <c r="H193" s="2">
        <v>3</v>
      </c>
      <c r="I193" s="2">
        <v>30</v>
      </c>
      <c r="J193" s="2">
        <v>90</v>
      </c>
    </row>
    <row r="194" spans="2:10" x14ac:dyDescent="0.25">
      <c r="B194" s="2">
        <v>191</v>
      </c>
      <c r="C194" s="6">
        <v>45217</v>
      </c>
      <c r="D194" s="2" t="s">
        <v>211</v>
      </c>
      <c r="E194" s="2" t="s">
        <v>17</v>
      </c>
      <c r="F194" s="2">
        <v>64</v>
      </c>
      <c r="G194" s="2" t="s">
        <v>18</v>
      </c>
      <c r="H194" s="2">
        <v>1</v>
      </c>
      <c r="I194" s="2">
        <v>25</v>
      </c>
      <c r="J194" s="2">
        <v>25</v>
      </c>
    </row>
    <row r="195" spans="2:10" x14ac:dyDescent="0.25">
      <c r="B195" s="2">
        <v>192</v>
      </c>
      <c r="C195" s="6">
        <v>44967</v>
      </c>
      <c r="D195" s="2" t="s">
        <v>212</v>
      </c>
      <c r="E195" s="2" t="s">
        <v>17</v>
      </c>
      <c r="F195" s="2">
        <v>62</v>
      </c>
      <c r="G195" s="2" t="s">
        <v>18</v>
      </c>
      <c r="H195" s="2">
        <v>2</v>
      </c>
      <c r="I195" s="2">
        <v>50</v>
      </c>
      <c r="J195" s="2">
        <v>100</v>
      </c>
    </row>
    <row r="196" spans="2:10" x14ac:dyDescent="0.25">
      <c r="B196" s="2">
        <v>193</v>
      </c>
      <c r="C196" s="6">
        <v>44970</v>
      </c>
      <c r="D196" s="2" t="s">
        <v>213</v>
      </c>
      <c r="E196" s="2" t="s">
        <v>17</v>
      </c>
      <c r="F196" s="2">
        <v>35</v>
      </c>
      <c r="G196" s="2" t="s">
        <v>18</v>
      </c>
      <c r="H196" s="2">
        <v>3</v>
      </c>
      <c r="I196" s="2">
        <v>500</v>
      </c>
      <c r="J196" s="2">
        <v>1500</v>
      </c>
    </row>
    <row r="197" spans="2:10" x14ac:dyDescent="0.25">
      <c r="B197" s="2">
        <v>194</v>
      </c>
      <c r="C197" s="6">
        <v>45175</v>
      </c>
      <c r="D197" s="2" t="s">
        <v>214</v>
      </c>
      <c r="E197" s="2" t="s">
        <v>17</v>
      </c>
      <c r="F197" s="2">
        <v>55</v>
      </c>
      <c r="G197" s="2" t="s">
        <v>21</v>
      </c>
      <c r="H197" s="2">
        <v>4</v>
      </c>
      <c r="I197" s="2">
        <v>50</v>
      </c>
      <c r="J197" s="2">
        <v>200</v>
      </c>
    </row>
    <row r="198" spans="2:10" x14ac:dyDescent="0.25">
      <c r="B198" s="2">
        <v>195</v>
      </c>
      <c r="C198" s="6">
        <v>44962</v>
      </c>
      <c r="D198" s="2" t="s">
        <v>215</v>
      </c>
      <c r="E198" s="2" t="s">
        <v>17</v>
      </c>
      <c r="F198" s="2">
        <v>52</v>
      </c>
      <c r="G198" s="2" t="s">
        <v>21</v>
      </c>
      <c r="H198" s="2">
        <v>1</v>
      </c>
      <c r="I198" s="2">
        <v>30</v>
      </c>
      <c r="J198" s="2">
        <v>30</v>
      </c>
    </row>
    <row r="199" spans="2:10" x14ac:dyDescent="0.25">
      <c r="B199" s="2">
        <v>196</v>
      </c>
      <c r="C199" s="6">
        <v>45199</v>
      </c>
      <c r="D199" s="2" t="s">
        <v>216</v>
      </c>
      <c r="E199" s="2" t="s">
        <v>20</v>
      </c>
      <c r="F199" s="2">
        <v>32</v>
      </c>
      <c r="G199" s="2" t="s">
        <v>21</v>
      </c>
      <c r="H199" s="2">
        <v>3</v>
      </c>
      <c r="I199" s="2">
        <v>300</v>
      </c>
      <c r="J199" s="2">
        <v>900</v>
      </c>
    </row>
    <row r="200" spans="2:10" x14ac:dyDescent="0.25">
      <c r="B200" s="2">
        <v>197</v>
      </c>
      <c r="C200" s="6">
        <v>44991</v>
      </c>
      <c r="D200" s="2" t="s">
        <v>217</v>
      </c>
      <c r="E200" s="2" t="s">
        <v>20</v>
      </c>
      <c r="F200" s="2">
        <v>42</v>
      </c>
      <c r="G200" s="2" t="s">
        <v>21</v>
      </c>
      <c r="H200" s="2">
        <v>4</v>
      </c>
      <c r="I200" s="2">
        <v>50</v>
      </c>
      <c r="J200" s="2">
        <v>200</v>
      </c>
    </row>
    <row r="201" spans="2:10" x14ac:dyDescent="0.25">
      <c r="B201" s="2">
        <v>198</v>
      </c>
      <c r="C201" s="6">
        <v>44992</v>
      </c>
      <c r="D201" s="2" t="s">
        <v>218</v>
      </c>
      <c r="E201" s="2" t="s">
        <v>20</v>
      </c>
      <c r="F201" s="2">
        <v>54</v>
      </c>
      <c r="G201" s="2" t="s">
        <v>18</v>
      </c>
      <c r="H201" s="2">
        <v>3</v>
      </c>
      <c r="I201" s="2">
        <v>300</v>
      </c>
      <c r="J201" s="2">
        <v>900</v>
      </c>
    </row>
    <row r="202" spans="2:10" x14ac:dyDescent="0.25">
      <c r="B202" s="2">
        <v>199</v>
      </c>
      <c r="C202" s="6">
        <v>45264</v>
      </c>
      <c r="D202" s="2" t="s">
        <v>219</v>
      </c>
      <c r="E202" s="2" t="s">
        <v>17</v>
      </c>
      <c r="F202" s="2">
        <v>45</v>
      </c>
      <c r="G202" s="2" t="s">
        <v>18</v>
      </c>
      <c r="H202" s="2">
        <v>3</v>
      </c>
      <c r="I202" s="2">
        <v>500</v>
      </c>
      <c r="J202" s="2">
        <v>1500</v>
      </c>
    </row>
    <row r="203" spans="2:10" x14ac:dyDescent="0.25">
      <c r="B203" s="2">
        <v>200</v>
      </c>
      <c r="C203" s="6">
        <v>45170</v>
      </c>
      <c r="D203" s="2" t="s">
        <v>220</v>
      </c>
      <c r="E203" s="2" t="s">
        <v>17</v>
      </c>
      <c r="F203" s="2">
        <v>27</v>
      </c>
      <c r="G203" s="2" t="s">
        <v>18</v>
      </c>
      <c r="H203" s="2">
        <v>3</v>
      </c>
      <c r="I203" s="2">
        <v>50</v>
      </c>
      <c r="J203" s="2">
        <v>150</v>
      </c>
    </row>
    <row r="204" spans="2:10" x14ac:dyDescent="0.25">
      <c r="B204" s="2">
        <v>201</v>
      </c>
      <c r="C204" s="6">
        <v>45208</v>
      </c>
      <c r="D204" s="2" t="s">
        <v>221</v>
      </c>
      <c r="E204" s="2" t="s">
        <v>17</v>
      </c>
      <c r="F204" s="2">
        <v>56</v>
      </c>
      <c r="G204" s="2" t="s">
        <v>23</v>
      </c>
      <c r="H204" s="2">
        <v>1</v>
      </c>
      <c r="I204" s="2">
        <v>25</v>
      </c>
      <c r="J204" s="2">
        <v>25</v>
      </c>
    </row>
    <row r="205" spans="2:10" x14ac:dyDescent="0.25">
      <c r="B205" s="2">
        <v>202</v>
      </c>
      <c r="C205" s="6">
        <v>45011</v>
      </c>
      <c r="D205" s="2" t="s">
        <v>222</v>
      </c>
      <c r="E205" s="2" t="s">
        <v>20</v>
      </c>
      <c r="F205" s="2">
        <v>34</v>
      </c>
      <c r="G205" s="2" t="s">
        <v>21</v>
      </c>
      <c r="H205" s="2">
        <v>4</v>
      </c>
      <c r="I205" s="2">
        <v>300</v>
      </c>
      <c r="J205" s="2">
        <v>1200</v>
      </c>
    </row>
    <row r="206" spans="2:10" x14ac:dyDescent="0.25">
      <c r="B206" s="2">
        <v>203</v>
      </c>
      <c r="C206" s="6">
        <v>45062</v>
      </c>
      <c r="D206" s="2" t="s">
        <v>223</v>
      </c>
      <c r="E206" s="2" t="s">
        <v>17</v>
      </c>
      <c r="F206" s="2">
        <v>56</v>
      </c>
      <c r="G206" s="2" t="s">
        <v>21</v>
      </c>
      <c r="H206" s="2">
        <v>2</v>
      </c>
      <c r="I206" s="2">
        <v>500</v>
      </c>
      <c r="J206" s="2">
        <v>1000</v>
      </c>
    </row>
    <row r="207" spans="2:10" x14ac:dyDescent="0.25">
      <c r="B207" s="2">
        <v>204</v>
      </c>
      <c r="C207" s="6">
        <v>45197</v>
      </c>
      <c r="D207" s="2" t="s">
        <v>224</v>
      </c>
      <c r="E207" s="2" t="s">
        <v>17</v>
      </c>
      <c r="F207" s="2">
        <v>39</v>
      </c>
      <c r="G207" s="2" t="s">
        <v>18</v>
      </c>
      <c r="H207" s="2">
        <v>1</v>
      </c>
      <c r="I207" s="2">
        <v>25</v>
      </c>
      <c r="J207" s="2">
        <v>25</v>
      </c>
    </row>
    <row r="208" spans="2:10" x14ac:dyDescent="0.25">
      <c r="B208" s="2">
        <v>205</v>
      </c>
      <c r="C208" s="6">
        <v>45237</v>
      </c>
      <c r="D208" s="2" t="s">
        <v>225</v>
      </c>
      <c r="E208" s="2" t="s">
        <v>20</v>
      </c>
      <c r="F208" s="2">
        <v>43</v>
      </c>
      <c r="G208" s="2" t="s">
        <v>21</v>
      </c>
      <c r="H208" s="2">
        <v>1</v>
      </c>
      <c r="I208" s="2">
        <v>25</v>
      </c>
      <c r="J208" s="2">
        <v>25</v>
      </c>
    </row>
    <row r="209" spans="2:10" x14ac:dyDescent="0.25">
      <c r="B209" s="2">
        <v>206</v>
      </c>
      <c r="C209" s="6">
        <v>45143</v>
      </c>
      <c r="D209" s="2" t="s">
        <v>226</v>
      </c>
      <c r="E209" s="2" t="s">
        <v>17</v>
      </c>
      <c r="F209" s="2">
        <v>61</v>
      </c>
      <c r="G209" s="2" t="s">
        <v>21</v>
      </c>
      <c r="H209" s="2">
        <v>1</v>
      </c>
      <c r="I209" s="2">
        <v>25</v>
      </c>
      <c r="J209" s="2">
        <v>25</v>
      </c>
    </row>
    <row r="210" spans="2:10" x14ac:dyDescent="0.25">
      <c r="B210" s="2">
        <v>207</v>
      </c>
      <c r="C210" s="6">
        <v>45035</v>
      </c>
      <c r="D210" s="2" t="s">
        <v>227</v>
      </c>
      <c r="E210" s="2" t="s">
        <v>20</v>
      </c>
      <c r="F210" s="2">
        <v>42</v>
      </c>
      <c r="G210" s="2" t="s">
        <v>18</v>
      </c>
      <c r="H210" s="2">
        <v>2</v>
      </c>
      <c r="I210" s="2">
        <v>25</v>
      </c>
      <c r="J210" s="2">
        <v>50</v>
      </c>
    </row>
    <row r="211" spans="2:10" x14ac:dyDescent="0.25">
      <c r="B211" s="2">
        <v>208</v>
      </c>
      <c r="C211" s="6">
        <v>45203</v>
      </c>
      <c r="D211" s="2" t="s">
        <v>228</v>
      </c>
      <c r="E211" s="2" t="s">
        <v>20</v>
      </c>
      <c r="F211" s="2">
        <v>34</v>
      </c>
      <c r="G211" s="2" t="s">
        <v>23</v>
      </c>
      <c r="H211" s="2">
        <v>4</v>
      </c>
      <c r="I211" s="2">
        <v>50</v>
      </c>
      <c r="J211" s="2">
        <v>200</v>
      </c>
    </row>
    <row r="212" spans="2:10" x14ac:dyDescent="0.25">
      <c r="B212" s="2">
        <v>209</v>
      </c>
      <c r="C212" s="6">
        <v>45280</v>
      </c>
      <c r="D212" s="2" t="s">
        <v>229</v>
      </c>
      <c r="E212" s="2" t="s">
        <v>20</v>
      </c>
      <c r="F212" s="2">
        <v>30</v>
      </c>
      <c r="G212" s="2" t="s">
        <v>23</v>
      </c>
      <c r="H212" s="2">
        <v>4</v>
      </c>
      <c r="I212" s="2">
        <v>50</v>
      </c>
      <c r="J212" s="2">
        <v>200</v>
      </c>
    </row>
    <row r="213" spans="2:10" x14ac:dyDescent="0.25">
      <c r="B213" s="2">
        <v>210</v>
      </c>
      <c r="C213" s="6">
        <v>45029</v>
      </c>
      <c r="D213" s="2" t="s">
        <v>230</v>
      </c>
      <c r="E213" s="2" t="s">
        <v>17</v>
      </c>
      <c r="F213" s="2">
        <v>37</v>
      </c>
      <c r="G213" s="2" t="s">
        <v>23</v>
      </c>
      <c r="H213" s="2">
        <v>4</v>
      </c>
      <c r="I213" s="2">
        <v>50</v>
      </c>
      <c r="J213" s="2">
        <v>200</v>
      </c>
    </row>
    <row r="214" spans="2:10" x14ac:dyDescent="0.25">
      <c r="B214" s="2">
        <v>211</v>
      </c>
      <c r="C214" s="6">
        <v>45292</v>
      </c>
      <c r="D214" s="2" t="s">
        <v>231</v>
      </c>
      <c r="E214" s="2" t="s">
        <v>17</v>
      </c>
      <c r="F214" s="2">
        <v>42</v>
      </c>
      <c r="G214" s="2" t="s">
        <v>18</v>
      </c>
      <c r="H214" s="2">
        <v>3</v>
      </c>
      <c r="I214" s="2">
        <v>500</v>
      </c>
      <c r="J214" s="2">
        <v>1500</v>
      </c>
    </row>
    <row r="215" spans="2:10" x14ac:dyDescent="0.25">
      <c r="B215" s="2">
        <v>212</v>
      </c>
      <c r="C215" s="6">
        <v>45086</v>
      </c>
      <c r="D215" s="2" t="s">
        <v>232</v>
      </c>
      <c r="E215" s="2" t="s">
        <v>17</v>
      </c>
      <c r="F215" s="2">
        <v>21</v>
      </c>
      <c r="G215" s="2" t="s">
        <v>21</v>
      </c>
      <c r="H215" s="2">
        <v>3</v>
      </c>
      <c r="I215" s="2">
        <v>500</v>
      </c>
      <c r="J215" s="2">
        <v>1500</v>
      </c>
    </row>
    <row r="216" spans="2:10" x14ac:dyDescent="0.25">
      <c r="B216" s="2">
        <v>213</v>
      </c>
      <c r="C216" s="6">
        <v>45131</v>
      </c>
      <c r="D216" s="2" t="s">
        <v>233</v>
      </c>
      <c r="E216" s="2" t="s">
        <v>17</v>
      </c>
      <c r="F216" s="2">
        <v>27</v>
      </c>
      <c r="G216" s="2" t="s">
        <v>18</v>
      </c>
      <c r="H216" s="2">
        <v>3</v>
      </c>
      <c r="I216" s="2">
        <v>500</v>
      </c>
      <c r="J216" s="2">
        <v>1500</v>
      </c>
    </row>
    <row r="217" spans="2:10" x14ac:dyDescent="0.25">
      <c r="B217" s="2">
        <v>214</v>
      </c>
      <c r="C217" s="6">
        <v>45270</v>
      </c>
      <c r="D217" s="2" t="s">
        <v>234</v>
      </c>
      <c r="E217" s="2" t="s">
        <v>17</v>
      </c>
      <c r="F217" s="2">
        <v>20</v>
      </c>
      <c r="G217" s="2" t="s">
        <v>18</v>
      </c>
      <c r="H217" s="2">
        <v>2</v>
      </c>
      <c r="I217" s="2">
        <v>30</v>
      </c>
      <c r="J217" s="2">
        <v>60</v>
      </c>
    </row>
    <row r="218" spans="2:10" x14ac:dyDescent="0.25">
      <c r="B218" s="2">
        <v>215</v>
      </c>
      <c r="C218" s="6">
        <v>45259</v>
      </c>
      <c r="D218" s="2" t="s">
        <v>235</v>
      </c>
      <c r="E218" s="2" t="s">
        <v>17</v>
      </c>
      <c r="F218" s="2">
        <v>58</v>
      </c>
      <c r="G218" s="2" t="s">
        <v>21</v>
      </c>
      <c r="H218" s="2">
        <v>3</v>
      </c>
      <c r="I218" s="2">
        <v>500</v>
      </c>
      <c r="J218" s="2">
        <v>1500</v>
      </c>
    </row>
    <row r="219" spans="2:10" x14ac:dyDescent="0.25">
      <c r="B219" s="2">
        <v>216</v>
      </c>
      <c r="C219" s="6">
        <v>45118</v>
      </c>
      <c r="D219" s="2" t="s">
        <v>236</v>
      </c>
      <c r="E219" s="2" t="s">
        <v>17</v>
      </c>
      <c r="F219" s="2">
        <v>62</v>
      </c>
      <c r="G219" s="2" t="s">
        <v>23</v>
      </c>
      <c r="H219" s="2">
        <v>2</v>
      </c>
      <c r="I219" s="2">
        <v>50</v>
      </c>
      <c r="J219" s="2">
        <v>100</v>
      </c>
    </row>
    <row r="220" spans="2:10" x14ac:dyDescent="0.25">
      <c r="B220" s="2">
        <v>217</v>
      </c>
      <c r="C220" s="6">
        <v>45151</v>
      </c>
      <c r="D220" s="2" t="s">
        <v>237</v>
      </c>
      <c r="E220" s="2" t="s">
        <v>20</v>
      </c>
      <c r="F220" s="2">
        <v>35</v>
      </c>
      <c r="G220" s="2" t="s">
        <v>23</v>
      </c>
      <c r="H220" s="2">
        <v>4</v>
      </c>
      <c r="I220" s="2">
        <v>50</v>
      </c>
      <c r="J220" s="2">
        <v>200</v>
      </c>
    </row>
    <row r="221" spans="2:10" x14ac:dyDescent="0.25">
      <c r="B221" s="2">
        <v>218</v>
      </c>
      <c r="C221" s="6">
        <v>45191</v>
      </c>
      <c r="D221" s="2" t="s">
        <v>238</v>
      </c>
      <c r="E221" s="2" t="s">
        <v>17</v>
      </c>
      <c r="F221" s="2">
        <v>64</v>
      </c>
      <c r="G221" s="2" t="s">
        <v>18</v>
      </c>
      <c r="H221" s="2">
        <v>3</v>
      </c>
      <c r="I221" s="2">
        <v>30</v>
      </c>
      <c r="J221" s="2">
        <v>90</v>
      </c>
    </row>
    <row r="222" spans="2:10" x14ac:dyDescent="0.25">
      <c r="B222" s="2">
        <v>219</v>
      </c>
      <c r="C222" s="6">
        <v>45158</v>
      </c>
      <c r="D222" s="2" t="s">
        <v>239</v>
      </c>
      <c r="E222" s="2" t="s">
        <v>20</v>
      </c>
      <c r="F222" s="2">
        <v>53</v>
      </c>
      <c r="G222" s="2" t="s">
        <v>23</v>
      </c>
      <c r="H222" s="2">
        <v>3</v>
      </c>
      <c r="I222" s="2">
        <v>30</v>
      </c>
      <c r="J222" s="2">
        <v>90</v>
      </c>
    </row>
    <row r="223" spans="2:10" x14ac:dyDescent="0.25">
      <c r="B223" s="2">
        <v>220</v>
      </c>
      <c r="C223" s="6">
        <v>44988</v>
      </c>
      <c r="D223" s="2" t="s">
        <v>240</v>
      </c>
      <c r="E223" s="2" t="s">
        <v>17</v>
      </c>
      <c r="F223" s="2">
        <v>64</v>
      </c>
      <c r="G223" s="2" t="s">
        <v>18</v>
      </c>
      <c r="H223" s="2">
        <v>1</v>
      </c>
      <c r="I223" s="2">
        <v>500</v>
      </c>
      <c r="J223" s="2">
        <v>500</v>
      </c>
    </row>
    <row r="224" spans="2:10" x14ac:dyDescent="0.25">
      <c r="B224" s="2">
        <v>221</v>
      </c>
      <c r="C224" s="6">
        <v>45053</v>
      </c>
      <c r="D224" s="2" t="s">
        <v>241</v>
      </c>
      <c r="E224" s="2" t="s">
        <v>17</v>
      </c>
      <c r="F224" s="2">
        <v>39</v>
      </c>
      <c r="G224" s="2" t="s">
        <v>18</v>
      </c>
      <c r="H224" s="2">
        <v>2</v>
      </c>
      <c r="I224" s="2">
        <v>300</v>
      </c>
      <c r="J224" s="2">
        <v>600</v>
      </c>
    </row>
    <row r="225" spans="2:10" x14ac:dyDescent="0.25">
      <c r="B225" s="2">
        <v>222</v>
      </c>
      <c r="C225" s="6">
        <v>45042</v>
      </c>
      <c r="D225" s="2" t="s">
        <v>242</v>
      </c>
      <c r="E225" s="2" t="s">
        <v>17</v>
      </c>
      <c r="F225" s="2">
        <v>51</v>
      </c>
      <c r="G225" s="2" t="s">
        <v>21</v>
      </c>
      <c r="H225" s="2">
        <v>4</v>
      </c>
      <c r="I225" s="2">
        <v>30</v>
      </c>
      <c r="J225" s="2">
        <v>120</v>
      </c>
    </row>
    <row r="226" spans="2:10" x14ac:dyDescent="0.25">
      <c r="B226" s="2">
        <v>223</v>
      </c>
      <c r="C226" s="6">
        <v>44959</v>
      </c>
      <c r="D226" s="2" t="s">
        <v>243</v>
      </c>
      <c r="E226" s="2" t="s">
        <v>20</v>
      </c>
      <c r="F226" s="2">
        <v>64</v>
      </c>
      <c r="G226" s="2" t="s">
        <v>21</v>
      </c>
      <c r="H226" s="2">
        <v>1</v>
      </c>
      <c r="I226" s="2">
        <v>25</v>
      </c>
      <c r="J226" s="2">
        <v>25</v>
      </c>
    </row>
    <row r="227" spans="2:10" x14ac:dyDescent="0.25">
      <c r="B227" s="2">
        <v>224</v>
      </c>
      <c r="C227" s="6">
        <v>45100</v>
      </c>
      <c r="D227" s="2" t="s">
        <v>244</v>
      </c>
      <c r="E227" s="2" t="s">
        <v>20</v>
      </c>
      <c r="F227" s="2">
        <v>25</v>
      </c>
      <c r="G227" s="2" t="s">
        <v>21</v>
      </c>
      <c r="H227" s="2">
        <v>1</v>
      </c>
      <c r="I227" s="2">
        <v>50</v>
      </c>
      <c r="J227" s="2">
        <v>50</v>
      </c>
    </row>
    <row r="228" spans="2:10" x14ac:dyDescent="0.25">
      <c r="B228" s="2">
        <v>225</v>
      </c>
      <c r="C228" s="6">
        <v>44937</v>
      </c>
      <c r="D228" s="2" t="s">
        <v>245</v>
      </c>
      <c r="E228" s="2" t="s">
        <v>20</v>
      </c>
      <c r="F228" s="2">
        <v>57</v>
      </c>
      <c r="G228" s="2" t="s">
        <v>18</v>
      </c>
      <c r="H228" s="2">
        <v>4</v>
      </c>
      <c r="I228" s="2">
        <v>25</v>
      </c>
      <c r="J228" s="2">
        <v>100</v>
      </c>
    </row>
    <row r="229" spans="2:10" x14ac:dyDescent="0.25">
      <c r="B229" s="2">
        <v>226</v>
      </c>
      <c r="C229" s="6">
        <v>45228</v>
      </c>
      <c r="D229" s="2" t="s">
        <v>246</v>
      </c>
      <c r="E229" s="2" t="s">
        <v>20</v>
      </c>
      <c r="F229" s="2">
        <v>61</v>
      </c>
      <c r="G229" s="2" t="s">
        <v>21</v>
      </c>
      <c r="H229" s="2">
        <v>1</v>
      </c>
      <c r="I229" s="2">
        <v>50</v>
      </c>
      <c r="J229" s="2">
        <v>50</v>
      </c>
    </row>
    <row r="230" spans="2:10" x14ac:dyDescent="0.25">
      <c r="B230" s="2">
        <v>227</v>
      </c>
      <c r="C230" s="6">
        <v>45210</v>
      </c>
      <c r="D230" s="2" t="s">
        <v>247</v>
      </c>
      <c r="E230" s="2" t="s">
        <v>17</v>
      </c>
      <c r="F230" s="2">
        <v>36</v>
      </c>
      <c r="G230" s="2" t="s">
        <v>23</v>
      </c>
      <c r="H230" s="2">
        <v>2</v>
      </c>
      <c r="I230" s="2">
        <v>50</v>
      </c>
      <c r="J230" s="2">
        <v>100</v>
      </c>
    </row>
    <row r="231" spans="2:10" x14ac:dyDescent="0.25">
      <c r="B231" s="2">
        <v>228</v>
      </c>
      <c r="C231" s="6">
        <v>45044</v>
      </c>
      <c r="D231" s="2" t="s">
        <v>248</v>
      </c>
      <c r="E231" s="2" t="s">
        <v>20</v>
      </c>
      <c r="F231" s="2">
        <v>59</v>
      </c>
      <c r="G231" s="2" t="s">
        <v>23</v>
      </c>
      <c r="H231" s="2">
        <v>2</v>
      </c>
      <c r="I231" s="2">
        <v>30</v>
      </c>
      <c r="J231" s="2">
        <v>60</v>
      </c>
    </row>
    <row r="232" spans="2:10" x14ac:dyDescent="0.25">
      <c r="B232" s="2">
        <v>229</v>
      </c>
      <c r="C232" s="6">
        <v>45228</v>
      </c>
      <c r="D232" s="2" t="s">
        <v>249</v>
      </c>
      <c r="E232" s="2" t="s">
        <v>17</v>
      </c>
      <c r="F232" s="2">
        <v>58</v>
      </c>
      <c r="G232" s="2" t="s">
        <v>18</v>
      </c>
      <c r="H232" s="2">
        <v>3</v>
      </c>
      <c r="I232" s="2">
        <v>30</v>
      </c>
      <c r="J232" s="2">
        <v>90</v>
      </c>
    </row>
    <row r="233" spans="2:10" x14ac:dyDescent="0.25">
      <c r="B233" s="2">
        <v>230</v>
      </c>
      <c r="C233" s="6">
        <v>45039</v>
      </c>
      <c r="D233" s="2" t="s">
        <v>250</v>
      </c>
      <c r="E233" s="2" t="s">
        <v>17</v>
      </c>
      <c r="F233" s="2">
        <v>54</v>
      </c>
      <c r="G233" s="2" t="s">
        <v>18</v>
      </c>
      <c r="H233" s="2">
        <v>1</v>
      </c>
      <c r="I233" s="2">
        <v>25</v>
      </c>
      <c r="J233" s="2">
        <v>25</v>
      </c>
    </row>
    <row r="234" spans="2:10" x14ac:dyDescent="0.25">
      <c r="B234" s="2">
        <v>231</v>
      </c>
      <c r="C234" s="6">
        <v>44930</v>
      </c>
      <c r="D234" s="2" t="s">
        <v>251</v>
      </c>
      <c r="E234" s="2" t="s">
        <v>20</v>
      </c>
      <c r="F234" s="2">
        <v>23</v>
      </c>
      <c r="G234" s="2" t="s">
        <v>21</v>
      </c>
      <c r="H234" s="2">
        <v>3</v>
      </c>
      <c r="I234" s="2">
        <v>50</v>
      </c>
      <c r="J234" s="2">
        <v>150</v>
      </c>
    </row>
    <row r="235" spans="2:10" x14ac:dyDescent="0.25">
      <c r="B235" s="2">
        <v>232</v>
      </c>
      <c r="C235" s="6">
        <v>44963</v>
      </c>
      <c r="D235" s="2" t="s">
        <v>252</v>
      </c>
      <c r="E235" s="2" t="s">
        <v>20</v>
      </c>
      <c r="F235" s="2">
        <v>43</v>
      </c>
      <c r="G235" s="2" t="s">
        <v>18</v>
      </c>
      <c r="H235" s="2">
        <v>1</v>
      </c>
      <c r="I235" s="2">
        <v>25</v>
      </c>
      <c r="J235" s="2">
        <v>25</v>
      </c>
    </row>
    <row r="236" spans="2:10" x14ac:dyDescent="0.25">
      <c r="B236" s="2">
        <v>233</v>
      </c>
      <c r="C236" s="6">
        <v>45289</v>
      </c>
      <c r="D236" s="2" t="s">
        <v>253</v>
      </c>
      <c r="E236" s="2" t="s">
        <v>20</v>
      </c>
      <c r="F236" s="2">
        <v>51</v>
      </c>
      <c r="G236" s="2" t="s">
        <v>18</v>
      </c>
      <c r="H236" s="2">
        <v>2</v>
      </c>
      <c r="I236" s="2">
        <v>300</v>
      </c>
      <c r="J236" s="2">
        <v>600</v>
      </c>
    </row>
    <row r="237" spans="2:10" x14ac:dyDescent="0.25">
      <c r="B237" s="2">
        <v>234</v>
      </c>
      <c r="C237" s="6">
        <v>45250</v>
      </c>
      <c r="D237" s="2" t="s">
        <v>254</v>
      </c>
      <c r="E237" s="2" t="s">
        <v>20</v>
      </c>
      <c r="F237" s="2">
        <v>62</v>
      </c>
      <c r="G237" s="2" t="s">
        <v>23</v>
      </c>
      <c r="H237" s="2">
        <v>2</v>
      </c>
      <c r="I237" s="2">
        <v>25</v>
      </c>
      <c r="J237" s="2">
        <v>50</v>
      </c>
    </row>
    <row r="238" spans="2:10" x14ac:dyDescent="0.25">
      <c r="B238" s="2">
        <v>235</v>
      </c>
      <c r="C238" s="6">
        <v>44957</v>
      </c>
      <c r="D238" s="2" t="s">
        <v>255</v>
      </c>
      <c r="E238" s="2" t="s">
        <v>20</v>
      </c>
      <c r="F238" s="2">
        <v>23</v>
      </c>
      <c r="G238" s="2" t="s">
        <v>23</v>
      </c>
      <c r="H238" s="2">
        <v>2</v>
      </c>
      <c r="I238" s="2">
        <v>500</v>
      </c>
      <c r="J238" s="2">
        <v>1000</v>
      </c>
    </row>
    <row r="239" spans="2:10" x14ac:dyDescent="0.25">
      <c r="B239" s="2">
        <v>236</v>
      </c>
      <c r="C239" s="6">
        <v>45044</v>
      </c>
      <c r="D239" s="2" t="s">
        <v>256</v>
      </c>
      <c r="E239" s="2" t="s">
        <v>20</v>
      </c>
      <c r="F239" s="2">
        <v>54</v>
      </c>
      <c r="G239" s="2" t="s">
        <v>21</v>
      </c>
      <c r="H239" s="2">
        <v>1</v>
      </c>
      <c r="I239" s="2">
        <v>25</v>
      </c>
      <c r="J239" s="2">
        <v>25</v>
      </c>
    </row>
    <row r="240" spans="2:10" x14ac:dyDescent="0.25">
      <c r="B240" s="2">
        <v>237</v>
      </c>
      <c r="C240" s="6">
        <v>44961</v>
      </c>
      <c r="D240" s="2" t="s">
        <v>257</v>
      </c>
      <c r="E240" s="2" t="s">
        <v>20</v>
      </c>
      <c r="F240" s="2">
        <v>50</v>
      </c>
      <c r="G240" s="2" t="s">
        <v>18</v>
      </c>
      <c r="H240" s="2">
        <v>2</v>
      </c>
      <c r="I240" s="2">
        <v>500</v>
      </c>
      <c r="J240" s="2">
        <v>1000</v>
      </c>
    </row>
    <row r="241" spans="2:10" x14ac:dyDescent="0.25">
      <c r="B241" s="2">
        <v>238</v>
      </c>
      <c r="C241" s="6">
        <v>44943</v>
      </c>
      <c r="D241" s="2" t="s">
        <v>258</v>
      </c>
      <c r="E241" s="2" t="s">
        <v>20</v>
      </c>
      <c r="F241" s="2">
        <v>39</v>
      </c>
      <c r="G241" s="2" t="s">
        <v>18</v>
      </c>
      <c r="H241" s="2">
        <v>1</v>
      </c>
      <c r="I241" s="2">
        <v>500</v>
      </c>
      <c r="J241" s="2">
        <v>500</v>
      </c>
    </row>
    <row r="242" spans="2:10" x14ac:dyDescent="0.25">
      <c r="B242" s="2">
        <v>239</v>
      </c>
      <c r="C242" s="6">
        <v>45096</v>
      </c>
      <c r="D242" s="2" t="s">
        <v>259</v>
      </c>
      <c r="E242" s="2" t="s">
        <v>17</v>
      </c>
      <c r="F242" s="2">
        <v>38</v>
      </c>
      <c r="G242" s="2" t="s">
        <v>23</v>
      </c>
      <c r="H242" s="2">
        <v>3</v>
      </c>
      <c r="I242" s="2">
        <v>500</v>
      </c>
      <c r="J242" s="2">
        <v>1500</v>
      </c>
    </row>
    <row r="243" spans="2:10" x14ac:dyDescent="0.25">
      <c r="B243" s="2">
        <v>240</v>
      </c>
      <c r="C243" s="6">
        <v>44963</v>
      </c>
      <c r="D243" s="2" t="s">
        <v>260</v>
      </c>
      <c r="E243" s="2" t="s">
        <v>20</v>
      </c>
      <c r="F243" s="2">
        <v>23</v>
      </c>
      <c r="G243" s="2" t="s">
        <v>18</v>
      </c>
      <c r="H243" s="2">
        <v>1</v>
      </c>
      <c r="I243" s="2">
        <v>300</v>
      </c>
      <c r="J243" s="2">
        <v>300</v>
      </c>
    </row>
    <row r="244" spans="2:10" x14ac:dyDescent="0.25">
      <c r="B244" s="2">
        <v>241</v>
      </c>
      <c r="C244" s="6">
        <v>45190</v>
      </c>
      <c r="D244" s="2" t="s">
        <v>261</v>
      </c>
      <c r="E244" s="2" t="s">
        <v>20</v>
      </c>
      <c r="F244" s="2">
        <v>23</v>
      </c>
      <c r="G244" s="2" t="s">
        <v>23</v>
      </c>
      <c r="H244" s="2">
        <v>3</v>
      </c>
      <c r="I244" s="2">
        <v>25</v>
      </c>
      <c r="J244" s="2">
        <v>75</v>
      </c>
    </row>
    <row r="245" spans="2:10" x14ac:dyDescent="0.25">
      <c r="B245" s="2">
        <v>242</v>
      </c>
      <c r="C245" s="6">
        <v>45048</v>
      </c>
      <c r="D245" s="2" t="s">
        <v>262</v>
      </c>
      <c r="E245" s="2" t="s">
        <v>17</v>
      </c>
      <c r="F245" s="2">
        <v>21</v>
      </c>
      <c r="G245" s="2" t="s">
        <v>21</v>
      </c>
      <c r="H245" s="2">
        <v>1</v>
      </c>
      <c r="I245" s="2">
        <v>25</v>
      </c>
      <c r="J245" s="2">
        <v>25</v>
      </c>
    </row>
    <row r="246" spans="2:10" x14ac:dyDescent="0.25">
      <c r="B246" s="2">
        <v>243</v>
      </c>
      <c r="C246" s="6">
        <v>45069</v>
      </c>
      <c r="D246" s="2" t="s">
        <v>263</v>
      </c>
      <c r="E246" s="2" t="s">
        <v>20</v>
      </c>
      <c r="F246" s="2">
        <v>47</v>
      </c>
      <c r="G246" s="2" t="s">
        <v>23</v>
      </c>
      <c r="H246" s="2">
        <v>3</v>
      </c>
      <c r="I246" s="2">
        <v>300</v>
      </c>
      <c r="J246" s="2">
        <v>900</v>
      </c>
    </row>
    <row r="247" spans="2:10" x14ac:dyDescent="0.25">
      <c r="B247" s="2">
        <v>244</v>
      </c>
      <c r="C247" s="6">
        <v>45269</v>
      </c>
      <c r="D247" s="2" t="s">
        <v>264</v>
      </c>
      <c r="E247" s="2" t="s">
        <v>17</v>
      </c>
      <c r="F247" s="2">
        <v>28</v>
      </c>
      <c r="G247" s="2" t="s">
        <v>18</v>
      </c>
      <c r="H247" s="2">
        <v>2</v>
      </c>
      <c r="I247" s="2">
        <v>50</v>
      </c>
      <c r="J247" s="2">
        <v>100</v>
      </c>
    </row>
    <row r="248" spans="2:10" x14ac:dyDescent="0.25">
      <c r="B248" s="2">
        <v>245</v>
      </c>
      <c r="C248" s="6">
        <v>45175</v>
      </c>
      <c r="D248" s="2" t="s">
        <v>265</v>
      </c>
      <c r="E248" s="2" t="s">
        <v>17</v>
      </c>
      <c r="F248" s="2">
        <v>47</v>
      </c>
      <c r="G248" s="2" t="s">
        <v>21</v>
      </c>
      <c r="H248" s="2">
        <v>3</v>
      </c>
      <c r="I248" s="2">
        <v>30</v>
      </c>
      <c r="J248" s="2">
        <v>90</v>
      </c>
    </row>
    <row r="249" spans="2:10" x14ac:dyDescent="0.25">
      <c r="B249" s="2">
        <v>246</v>
      </c>
      <c r="C249" s="6">
        <v>45036</v>
      </c>
      <c r="D249" s="2" t="s">
        <v>266</v>
      </c>
      <c r="E249" s="2" t="s">
        <v>20</v>
      </c>
      <c r="F249" s="2">
        <v>48</v>
      </c>
      <c r="G249" s="2" t="s">
        <v>23</v>
      </c>
      <c r="H249" s="2">
        <v>2</v>
      </c>
      <c r="I249" s="2">
        <v>25</v>
      </c>
      <c r="J249" s="2">
        <v>50</v>
      </c>
    </row>
    <row r="250" spans="2:10" x14ac:dyDescent="0.25">
      <c r="B250" s="2">
        <v>247</v>
      </c>
      <c r="C250" s="6">
        <v>45203</v>
      </c>
      <c r="D250" s="2" t="s">
        <v>267</v>
      </c>
      <c r="E250" s="2" t="s">
        <v>17</v>
      </c>
      <c r="F250" s="2">
        <v>41</v>
      </c>
      <c r="G250" s="2" t="s">
        <v>23</v>
      </c>
      <c r="H250" s="2">
        <v>2</v>
      </c>
      <c r="I250" s="2">
        <v>30</v>
      </c>
      <c r="J250" s="2">
        <v>60</v>
      </c>
    </row>
    <row r="251" spans="2:10" x14ac:dyDescent="0.25">
      <c r="B251" s="2">
        <v>248</v>
      </c>
      <c r="C251" s="6">
        <v>44994</v>
      </c>
      <c r="D251" s="2" t="s">
        <v>268</v>
      </c>
      <c r="E251" s="2" t="s">
        <v>17</v>
      </c>
      <c r="F251" s="2">
        <v>26</v>
      </c>
      <c r="G251" s="2" t="s">
        <v>21</v>
      </c>
      <c r="H251" s="2">
        <v>3</v>
      </c>
      <c r="I251" s="2">
        <v>300</v>
      </c>
      <c r="J251" s="2">
        <v>900</v>
      </c>
    </row>
    <row r="252" spans="2:10" x14ac:dyDescent="0.25">
      <c r="B252" s="2">
        <v>249</v>
      </c>
      <c r="C252" s="6">
        <v>45219</v>
      </c>
      <c r="D252" s="2" t="s">
        <v>269</v>
      </c>
      <c r="E252" s="2" t="s">
        <v>17</v>
      </c>
      <c r="F252" s="2">
        <v>20</v>
      </c>
      <c r="G252" s="2" t="s">
        <v>21</v>
      </c>
      <c r="H252" s="2">
        <v>1</v>
      </c>
      <c r="I252" s="2">
        <v>50</v>
      </c>
      <c r="J252" s="2">
        <v>50</v>
      </c>
    </row>
    <row r="253" spans="2:10" x14ac:dyDescent="0.25">
      <c r="B253" s="2">
        <v>250</v>
      </c>
      <c r="C253" s="6">
        <v>45222</v>
      </c>
      <c r="D253" s="2" t="s">
        <v>270</v>
      </c>
      <c r="E253" s="2" t="s">
        <v>17</v>
      </c>
      <c r="F253" s="2">
        <v>48</v>
      </c>
      <c r="G253" s="2" t="s">
        <v>23</v>
      </c>
      <c r="H253" s="2">
        <v>1</v>
      </c>
      <c r="I253" s="2">
        <v>50</v>
      </c>
      <c r="J253" s="2">
        <v>50</v>
      </c>
    </row>
    <row r="254" spans="2:10" x14ac:dyDescent="0.25">
      <c r="B254" s="2">
        <v>251</v>
      </c>
      <c r="C254" s="6">
        <v>45169</v>
      </c>
      <c r="D254" s="2" t="s">
        <v>271</v>
      </c>
      <c r="E254" s="2" t="s">
        <v>20</v>
      </c>
      <c r="F254" s="2">
        <v>57</v>
      </c>
      <c r="G254" s="2" t="s">
        <v>18</v>
      </c>
      <c r="H254" s="2">
        <v>4</v>
      </c>
      <c r="I254" s="2">
        <v>50</v>
      </c>
      <c r="J254" s="2">
        <v>200</v>
      </c>
    </row>
    <row r="255" spans="2:10" x14ac:dyDescent="0.25">
      <c r="B255" s="2">
        <v>252</v>
      </c>
      <c r="C255" s="6">
        <v>45051</v>
      </c>
      <c r="D255" s="2" t="s">
        <v>272</v>
      </c>
      <c r="E255" s="2" t="s">
        <v>17</v>
      </c>
      <c r="F255" s="2">
        <v>54</v>
      </c>
      <c r="G255" s="2" t="s">
        <v>23</v>
      </c>
      <c r="H255" s="2">
        <v>1</v>
      </c>
      <c r="I255" s="2">
        <v>300</v>
      </c>
      <c r="J255" s="2">
        <v>300</v>
      </c>
    </row>
    <row r="256" spans="2:10" x14ac:dyDescent="0.25">
      <c r="B256" s="2">
        <v>253</v>
      </c>
      <c r="C256" s="6">
        <v>45169</v>
      </c>
      <c r="D256" s="2" t="s">
        <v>273</v>
      </c>
      <c r="E256" s="2" t="s">
        <v>20</v>
      </c>
      <c r="F256" s="2">
        <v>53</v>
      </c>
      <c r="G256" s="2" t="s">
        <v>21</v>
      </c>
      <c r="H256" s="2">
        <v>4</v>
      </c>
      <c r="I256" s="2">
        <v>500</v>
      </c>
      <c r="J256" s="2">
        <v>2000</v>
      </c>
    </row>
    <row r="257" spans="2:10" x14ac:dyDescent="0.25">
      <c r="B257" s="2">
        <v>254</v>
      </c>
      <c r="C257" s="6">
        <v>45135</v>
      </c>
      <c r="D257" s="2" t="s">
        <v>274</v>
      </c>
      <c r="E257" s="2" t="s">
        <v>17</v>
      </c>
      <c r="F257" s="2">
        <v>41</v>
      </c>
      <c r="G257" s="2" t="s">
        <v>23</v>
      </c>
      <c r="H257" s="2">
        <v>1</v>
      </c>
      <c r="I257" s="2">
        <v>500</v>
      </c>
      <c r="J257" s="2">
        <v>500</v>
      </c>
    </row>
    <row r="258" spans="2:10" x14ac:dyDescent="0.25">
      <c r="B258" s="2">
        <v>255</v>
      </c>
      <c r="C258" s="6">
        <v>45024</v>
      </c>
      <c r="D258" s="2" t="s">
        <v>275</v>
      </c>
      <c r="E258" s="2" t="s">
        <v>17</v>
      </c>
      <c r="F258" s="2">
        <v>48</v>
      </c>
      <c r="G258" s="2" t="s">
        <v>21</v>
      </c>
      <c r="H258" s="2">
        <v>1</v>
      </c>
      <c r="I258" s="2">
        <v>30</v>
      </c>
      <c r="J258" s="2">
        <v>30</v>
      </c>
    </row>
    <row r="259" spans="2:10" x14ac:dyDescent="0.25">
      <c r="B259" s="2">
        <v>256</v>
      </c>
      <c r="C259" s="6">
        <v>44975</v>
      </c>
      <c r="D259" s="2" t="s">
        <v>276</v>
      </c>
      <c r="E259" s="2" t="s">
        <v>17</v>
      </c>
      <c r="F259" s="2">
        <v>23</v>
      </c>
      <c r="G259" s="2" t="s">
        <v>21</v>
      </c>
      <c r="H259" s="2">
        <v>2</v>
      </c>
      <c r="I259" s="2">
        <v>500</v>
      </c>
      <c r="J259" s="2">
        <v>1000</v>
      </c>
    </row>
    <row r="260" spans="2:10" x14ac:dyDescent="0.25">
      <c r="B260" s="2">
        <v>257</v>
      </c>
      <c r="C260" s="6">
        <v>44976</v>
      </c>
      <c r="D260" s="2" t="s">
        <v>277</v>
      </c>
      <c r="E260" s="2" t="s">
        <v>17</v>
      </c>
      <c r="F260" s="2">
        <v>19</v>
      </c>
      <c r="G260" s="2" t="s">
        <v>18</v>
      </c>
      <c r="H260" s="2">
        <v>4</v>
      </c>
      <c r="I260" s="2">
        <v>500</v>
      </c>
      <c r="J260" s="2">
        <v>2000</v>
      </c>
    </row>
    <row r="261" spans="2:10" x14ac:dyDescent="0.25">
      <c r="B261" s="2">
        <v>258</v>
      </c>
      <c r="C261" s="6">
        <v>45264</v>
      </c>
      <c r="D261" s="2" t="s">
        <v>278</v>
      </c>
      <c r="E261" s="2" t="s">
        <v>20</v>
      </c>
      <c r="F261" s="2">
        <v>37</v>
      </c>
      <c r="G261" s="2" t="s">
        <v>21</v>
      </c>
      <c r="H261" s="2">
        <v>1</v>
      </c>
      <c r="I261" s="2">
        <v>50</v>
      </c>
      <c r="J261" s="2">
        <v>50</v>
      </c>
    </row>
    <row r="262" spans="2:10" x14ac:dyDescent="0.25">
      <c r="B262" s="2">
        <v>259</v>
      </c>
      <c r="C262" s="6">
        <v>45147</v>
      </c>
      <c r="D262" s="2" t="s">
        <v>279</v>
      </c>
      <c r="E262" s="2" t="s">
        <v>20</v>
      </c>
      <c r="F262" s="2">
        <v>45</v>
      </c>
      <c r="G262" s="2" t="s">
        <v>21</v>
      </c>
      <c r="H262" s="2">
        <v>4</v>
      </c>
      <c r="I262" s="2">
        <v>50</v>
      </c>
      <c r="J262" s="2">
        <v>200</v>
      </c>
    </row>
    <row r="263" spans="2:10" x14ac:dyDescent="0.25">
      <c r="B263" s="2">
        <v>260</v>
      </c>
      <c r="C263" s="6">
        <v>45108</v>
      </c>
      <c r="D263" s="2" t="s">
        <v>280</v>
      </c>
      <c r="E263" s="2" t="s">
        <v>17</v>
      </c>
      <c r="F263" s="2">
        <v>28</v>
      </c>
      <c r="G263" s="2" t="s">
        <v>18</v>
      </c>
      <c r="H263" s="2">
        <v>2</v>
      </c>
      <c r="I263" s="2">
        <v>30</v>
      </c>
      <c r="J263" s="2">
        <v>60</v>
      </c>
    </row>
    <row r="264" spans="2:10" x14ac:dyDescent="0.25">
      <c r="B264" s="2">
        <v>261</v>
      </c>
      <c r="C264" s="6">
        <v>45143</v>
      </c>
      <c r="D264" s="2" t="s">
        <v>281</v>
      </c>
      <c r="E264" s="2" t="s">
        <v>17</v>
      </c>
      <c r="F264" s="2">
        <v>21</v>
      </c>
      <c r="G264" s="2" t="s">
        <v>21</v>
      </c>
      <c r="H264" s="2">
        <v>2</v>
      </c>
      <c r="I264" s="2">
        <v>25</v>
      </c>
      <c r="J264" s="2">
        <v>50</v>
      </c>
    </row>
    <row r="265" spans="2:10" x14ac:dyDescent="0.25">
      <c r="B265" s="2">
        <v>262</v>
      </c>
      <c r="C265" s="6">
        <v>45137</v>
      </c>
      <c r="D265" s="2" t="s">
        <v>282</v>
      </c>
      <c r="E265" s="2" t="s">
        <v>20</v>
      </c>
      <c r="F265" s="2">
        <v>32</v>
      </c>
      <c r="G265" s="2" t="s">
        <v>18</v>
      </c>
      <c r="H265" s="2">
        <v>4</v>
      </c>
      <c r="I265" s="2">
        <v>30</v>
      </c>
      <c r="J265" s="2">
        <v>120</v>
      </c>
    </row>
    <row r="266" spans="2:10" x14ac:dyDescent="0.25">
      <c r="B266" s="2">
        <v>263</v>
      </c>
      <c r="C266" s="6">
        <v>45166</v>
      </c>
      <c r="D266" s="2" t="s">
        <v>283</v>
      </c>
      <c r="E266" s="2" t="s">
        <v>17</v>
      </c>
      <c r="F266" s="2">
        <v>23</v>
      </c>
      <c r="G266" s="2" t="s">
        <v>18</v>
      </c>
      <c r="H266" s="2">
        <v>2</v>
      </c>
      <c r="I266" s="2">
        <v>30</v>
      </c>
      <c r="J266" s="2">
        <v>60</v>
      </c>
    </row>
    <row r="267" spans="2:10" x14ac:dyDescent="0.25">
      <c r="B267" s="2">
        <v>264</v>
      </c>
      <c r="C267" s="6">
        <v>44954</v>
      </c>
      <c r="D267" s="2" t="s">
        <v>284</v>
      </c>
      <c r="E267" s="2" t="s">
        <v>17</v>
      </c>
      <c r="F267" s="2">
        <v>47</v>
      </c>
      <c r="G267" s="2" t="s">
        <v>21</v>
      </c>
      <c r="H267" s="2">
        <v>3</v>
      </c>
      <c r="I267" s="2">
        <v>300</v>
      </c>
      <c r="J267" s="2">
        <v>900</v>
      </c>
    </row>
    <row r="268" spans="2:10" x14ac:dyDescent="0.25">
      <c r="B268" s="2">
        <v>265</v>
      </c>
      <c r="C268" s="6">
        <v>45271</v>
      </c>
      <c r="D268" s="2" t="s">
        <v>285</v>
      </c>
      <c r="E268" s="2" t="s">
        <v>17</v>
      </c>
      <c r="F268" s="2">
        <v>55</v>
      </c>
      <c r="G268" s="2" t="s">
        <v>21</v>
      </c>
      <c r="H268" s="2">
        <v>3</v>
      </c>
      <c r="I268" s="2">
        <v>300</v>
      </c>
      <c r="J268" s="2">
        <v>900</v>
      </c>
    </row>
    <row r="269" spans="2:10" x14ac:dyDescent="0.25">
      <c r="B269" s="2">
        <v>266</v>
      </c>
      <c r="C269" s="6">
        <v>45261</v>
      </c>
      <c r="D269" s="2" t="s">
        <v>286</v>
      </c>
      <c r="E269" s="2" t="s">
        <v>20</v>
      </c>
      <c r="F269" s="2">
        <v>19</v>
      </c>
      <c r="G269" s="2" t="s">
        <v>23</v>
      </c>
      <c r="H269" s="2">
        <v>2</v>
      </c>
      <c r="I269" s="2">
        <v>30</v>
      </c>
      <c r="J269" s="2">
        <v>60</v>
      </c>
    </row>
    <row r="270" spans="2:10" x14ac:dyDescent="0.25">
      <c r="B270" s="2">
        <v>267</v>
      </c>
      <c r="C270" s="6">
        <v>45257</v>
      </c>
      <c r="D270" s="2" t="s">
        <v>287</v>
      </c>
      <c r="E270" s="2" t="s">
        <v>20</v>
      </c>
      <c r="F270" s="2">
        <v>32</v>
      </c>
      <c r="G270" s="2" t="s">
        <v>18</v>
      </c>
      <c r="H270" s="2">
        <v>3</v>
      </c>
      <c r="I270" s="2">
        <v>30</v>
      </c>
      <c r="J270" s="2">
        <v>90</v>
      </c>
    </row>
    <row r="271" spans="2:10" x14ac:dyDescent="0.25">
      <c r="B271" s="2">
        <v>268</v>
      </c>
      <c r="C271" s="6">
        <v>44977</v>
      </c>
      <c r="D271" s="2" t="s">
        <v>288</v>
      </c>
      <c r="E271" s="2" t="s">
        <v>20</v>
      </c>
      <c r="F271" s="2">
        <v>28</v>
      </c>
      <c r="G271" s="2" t="s">
        <v>23</v>
      </c>
      <c r="H271" s="2">
        <v>1</v>
      </c>
      <c r="I271" s="2">
        <v>30</v>
      </c>
      <c r="J271" s="2">
        <v>30</v>
      </c>
    </row>
    <row r="272" spans="2:10" x14ac:dyDescent="0.25">
      <c r="B272" s="2">
        <v>269</v>
      </c>
      <c r="C272" s="6">
        <v>44958</v>
      </c>
      <c r="D272" s="2" t="s">
        <v>289</v>
      </c>
      <c r="E272" s="2" t="s">
        <v>17</v>
      </c>
      <c r="F272" s="2">
        <v>25</v>
      </c>
      <c r="G272" s="2" t="s">
        <v>21</v>
      </c>
      <c r="H272" s="2">
        <v>4</v>
      </c>
      <c r="I272" s="2">
        <v>500</v>
      </c>
      <c r="J272" s="2">
        <v>2000</v>
      </c>
    </row>
    <row r="273" spans="2:10" x14ac:dyDescent="0.25">
      <c r="B273" s="2">
        <v>270</v>
      </c>
      <c r="C273" s="6">
        <v>45133</v>
      </c>
      <c r="D273" s="2" t="s">
        <v>290</v>
      </c>
      <c r="E273" s="2" t="s">
        <v>17</v>
      </c>
      <c r="F273" s="2">
        <v>43</v>
      </c>
      <c r="G273" s="2" t="s">
        <v>23</v>
      </c>
      <c r="H273" s="2">
        <v>1</v>
      </c>
      <c r="I273" s="2">
        <v>300</v>
      </c>
      <c r="J273" s="2">
        <v>300</v>
      </c>
    </row>
    <row r="274" spans="2:10" x14ac:dyDescent="0.25">
      <c r="B274" s="2">
        <v>271</v>
      </c>
      <c r="C274" s="6">
        <v>45100</v>
      </c>
      <c r="D274" s="2" t="s">
        <v>291</v>
      </c>
      <c r="E274" s="2" t="s">
        <v>20</v>
      </c>
      <c r="F274" s="2">
        <v>62</v>
      </c>
      <c r="G274" s="2" t="s">
        <v>18</v>
      </c>
      <c r="H274" s="2">
        <v>4</v>
      </c>
      <c r="I274" s="2">
        <v>30</v>
      </c>
      <c r="J274" s="2">
        <v>120</v>
      </c>
    </row>
    <row r="275" spans="2:10" x14ac:dyDescent="0.25">
      <c r="B275" s="2">
        <v>272</v>
      </c>
      <c r="C275" s="6">
        <v>44982</v>
      </c>
      <c r="D275" s="2" t="s">
        <v>292</v>
      </c>
      <c r="E275" s="2" t="s">
        <v>20</v>
      </c>
      <c r="F275" s="2">
        <v>61</v>
      </c>
      <c r="G275" s="2" t="s">
        <v>23</v>
      </c>
      <c r="H275" s="2">
        <v>2</v>
      </c>
      <c r="I275" s="2">
        <v>50</v>
      </c>
      <c r="J275" s="2">
        <v>100</v>
      </c>
    </row>
    <row r="276" spans="2:10" x14ac:dyDescent="0.25">
      <c r="B276" s="2">
        <v>273</v>
      </c>
      <c r="C276" s="6">
        <v>45054</v>
      </c>
      <c r="D276" s="2" t="s">
        <v>293</v>
      </c>
      <c r="E276" s="2" t="s">
        <v>20</v>
      </c>
      <c r="F276" s="2">
        <v>22</v>
      </c>
      <c r="G276" s="2" t="s">
        <v>18</v>
      </c>
      <c r="H276" s="2">
        <v>1</v>
      </c>
      <c r="I276" s="2">
        <v>50</v>
      </c>
      <c r="J276" s="2">
        <v>50</v>
      </c>
    </row>
    <row r="277" spans="2:10" x14ac:dyDescent="0.25">
      <c r="B277" s="2">
        <v>274</v>
      </c>
      <c r="C277" s="6">
        <v>45025</v>
      </c>
      <c r="D277" s="2" t="s">
        <v>294</v>
      </c>
      <c r="E277" s="2" t="s">
        <v>20</v>
      </c>
      <c r="F277" s="2">
        <v>23</v>
      </c>
      <c r="G277" s="2" t="s">
        <v>21</v>
      </c>
      <c r="H277" s="2">
        <v>2</v>
      </c>
      <c r="I277" s="2">
        <v>500</v>
      </c>
      <c r="J277" s="2">
        <v>1000</v>
      </c>
    </row>
    <row r="278" spans="2:10" x14ac:dyDescent="0.25">
      <c r="B278" s="2">
        <v>275</v>
      </c>
      <c r="C278" s="6">
        <v>45024</v>
      </c>
      <c r="D278" s="2" t="s">
        <v>295</v>
      </c>
      <c r="E278" s="2" t="s">
        <v>17</v>
      </c>
      <c r="F278" s="2">
        <v>43</v>
      </c>
      <c r="G278" s="2" t="s">
        <v>21</v>
      </c>
      <c r="H278" s="2">
        <v>2</v>
      </c>
      <c r="I278" s="2">
        <v>500</v>
      </c>
      <c r="J278" s="2">
        <v>1000</v>
      </c>
    </row>
    <row r="279" spans="2:10" x14ac:dyDescent="0.25">
      <c r="B279" s="2">
        <v>276</v>
      </c>
      <c r="C279" s="6">
        <v>45201</v>
      </c>
      <c r="D279" s="2" t="s">
        <v>296</v>
      </c>
      <c r="E279" s="2" t="s">
        <v>20</v>
      </c>
      <c r="F279" s="2">
        <v>21</v>
      </c>
      <c r="G279" s="2" t="s">
        <v>18</v>
      </c>
      <c r="H279" s="2">
        <v>4</v>
      </c>
      <c r="I279" s="2">
        <v>25</v>
      </c>
      <c r="J279" s="2">
        <v>100</v>
      </c>
    </row>
    <row r="280" spans="2:10" x14ac:dyDescent="0.25">
      <c r="B280" s="2">
        <v>277</v>
      </c>
      <c r="C280" s="6">
        <v>45156</v>
      </c>
      <c r="D280" s="2" t="s">
        <v>297</v>
      </c>
      <c r="E280" s="2" t="s">
        <v>17</v>
      </c>
      <c r="F280" s="2">
        <v>36</v>
      </c>
      <c r="G280" s="2" t="s">
        <v>21</v>
      </c>
      <c r="H280" s="2">
        <v>4</v>
      </c>
      <c r="I280" s="2">
        <v>25</v>
      </c>
      <c r="J280" s="2">
        <v>100</v>
      </c>
    </row>
    <row r="281" spans="2:10" x14ac:dyDescent="0.25">
      <c r="B281" s="2">
        <v>278</v>
      </c>
      <c r="C281" s="6">
        <v>44998</v>
      </c>
      <c r="D281" s="2" t="s">
        <v>298</v>
      </c>
      <c r="E281" s="2" t="s">
        <v>20</v>
      </c>
      <c r="F281" s="2">
        <v>37</v>
      </c>
      <c r="G281" s="2" t="s">
        <v>21</v>
      </c>
      <c r="H281" s="2">
        <v>4</v>
      </c>
      <c r="I281" s="2">
        <v>25</v>
      </c>
      <c r="J281" s="2">
        <v>100</v>
      </c>
    </row>
    <row r="282" spans="2:10" x14ac:dyDescent="0.25">
      <c r="B282" s="2">
        <v>279</v>
      </c>
      <c r="C282" s="6">
        <v>45143</v>
      </c>
      <c r="D282" s="2" t="s">
        <v>299</v>
      </c>
      <c r="E282" s="2" t="s">
        <v>17</v>
      </c>
      <c r="F282" s="2">
        <v>50</v>
      </c>
      <c r="G282" s="2" t="s">
        <v>21</v>
      </c>
      <c r="H282" s="2">
        <v>1</v>
      </c>
      <c r="I282" s="2">
        <v>500</v>
      </c>
      <c r="J282" s="2">
        <v>500</v>
      </c>
    </row>
    <row r="283" spans="2:10" x14ac:dyDescent="0.25">
      <c r="B283" s="2">
        <v>280</v>
      </c>
      <c r="C283" s="6">
        <v>45020</v>
      </c>
      <c r="D283" s="2" t="s">
        <v>300</v>
      </c>
      <c r="E283" s="2" t="s">
        <v>20</v>
      </c>
      <c r="F283" s="2">
        <v>37</v>
      </c>
      <c r="G283" s="2" t="s">
        <v>21</v>
      </c>
      <c r="H283" s="2">
        <v>3</v>
      </c>
      <c r="I283" s="2">
        <v>500</v>
      </c>
      <c r="J283" s="2">
        <v>1500</v>
      </c>
    </row>
    <row r="284" spans="2:10" x14ac:dyDescent="0.25">
      <c r="B284" s="2">
        <v>281</v>
      </c>
      <c r="C284" s="6">
        <v>45069</v>
      </c>
      <c r="D284" s="2" t="s">
        <v>301</v>
      </c>
      <c r="E284" s="2" t="s">
        <v>20</v>
      </c>
      <c r="F284" s="2">
        <v>29</v>
      </c>
      <c r="G284" s="2" t="s">
        <v>18</v>
      </c>
      <c r="H284" s="2">
        <v>4</v>
      </c>
      <c r="I284" s="2">
        <v>500</v>
      </c>
      <c r="J284" s="2">
        <v>2000</v>
      </c>
    </row>
    <row r="285" spans="2:10" x14ac:dyDescent="0.25">
      <c r="B285" s="2">
        <v>282</v>
      </c>
      <c r="C285" s="6">
        <v>45163</v>
      </c>
      <c r="D285" s="2" t="s">
        <v>302</v>
      </c>
      <c r="E285" s="2" t="s">
        <v>20</v>
      </c>
      <c r="F285" s="2">
        <v>64</v>
      </c>
      <c r="G285" s="2" t="s">
        <v>23</v>
      </c>
      <c r="H285" s="2">
        <v>4</v>
      </c>
      <c r="I285" s="2">
        <v>50</v>
      </c>
      <c r="J285" s="2">
        <v>200</v>
      </c>
    </row>
    <row r="286" spans="2:10" x14ac:dyDescent="0.25">
      <c r="B286" s="2">
        <v>283</v>
      </c>
      <c r="C286" s="6">
        <v>45054</v>
      </c>
      <c r="D286" s="2" t="s">
        <v>303</v>
      </c>
      <c r="E286" s="2" t="s">
        <v>20</v>
      </c>
      <c r="F286" s="2">
        <v>18</v>
      </c>
      <c r="G286" s="2" t="s">
        <v>23</v>
      </c>
      <c r="H286" s="2">
        <v>1</v>
      </c>
      <c r="I286" s="2">
        <v>500</v>
      </c>
      <c r="J286" s="2">
        <v>500</v>
      </c>
    </row>
    <row r="287" spans="2:10" x14ac:dyDescent="0.25">
      <c r="B287" s="2">
        <v>284</v>
      </c>
      <c r="C287" s="6">
        <v>44965</v>
      </c>
      <c r="D287" s="2" t="s">
        <v>304</v>
      </c>
      <c r="E287" s="2" t="s">
        <v>17</v>
      </c>
      <c r="F287" s="2">
        <v>43</v>
      </c>
      <c r="G287" s="2" t="s">
        <v>21</v>
      </c>
      <c r="H287" s="2">
        <v>4</v>
      </c>
      <c r="I287" s="2">
        <v>50</v>
      </c>
      <c r="J287" s="2">
        <v>200</v>
      </c>
    </row>
    <row r="288" spans="2:10" x14ac:dyDescent="0.25">
      <c r="B288" s="2">
        <v>285</v>
      </c>
      <c r="C288" s="6">
        <v>45153</v>
      </c>
      <c r="D288" s="2" t="s">
        <v>305</v>
      </c>
      <c r="E288" s="2" t="s">
        <v>20</v>
      </c>
      <c r="F288" s="2">
        <v>31</v>
      </c>
      <c r="G288" s="2" t="s">
        <v>23</v>
      </c>
      <c r="H288" s="2">
        <v>1</v>
      </c>
      <c r="I288" s="2">
        <v>25</v>
      </c>
      <c r="J288" s="2">
        <v>25</v>
      </c>
    </row>
    <row r="289" spans="2:10" x14ac:dyDescent="0.25">
      <c r="B289" s="2">
        <v>286</v>
      </c>
      <c r="C289" s="6">
        <v>45208</v>
      </c>
      <c r="D289" s="2" t="s">
        <v>306</v>
      </c>
      <c r="E289" s="2" t="s">
        <v>17</v>
      </c>
      <c r="F289" s="2">
        <v>55</v>
      </c>
      <c r="G289" s="2" t="s">
        <v>23</v>
      </c>
      <c r="H289" s="2">
        <v>2</v>
      </c>
      <c r="I289" s="2">
        <v>25</v>
      </c>
      <c r="J289" s="2">
        <v>50</v>
      </c>
    </row>
    <row r="290" spans="2:10" x14ac:dyDescent="0.25">
      <c r="B290" s="2">
        <v>287</v>
      </c>
      <c r="C290" s="6">
        <v>44977</v>
      </c>
      <c r="D290" s="2" t="s">
        <v>307</v>
      </c>
      <c r="E290" s="2" t="s">
        <v>17</v>
      </c>
      <c r="F290" s="2">
        <v>54</v>
      </c>
      <c r="G290" s="2" t="s">
        <v>21</v>
      </c>
      <c r="H290" s="2">
        <v>4</v>
      </c>
      <c r="I290" s="2">
        <v>25</v>
      </c>
      <c r="J290" s="2">
        <v>100</v>
      </c>
    </row>
    <row r="291" spans="2:10" x14ac:dyDescent="0.25">
      <c r="B291" s="2">
        <v>288</v>
      </c>
      <c r="C291" s="6">
        <v>44952</v>
      </c>
      <c r="D291" s="2" t="s">
        <v>308</v>
      </c>
      <c r="E291" s="2" t="s">
        <v>17</v>
      </c>
      <c r="F291" s="2">
        <v>28</v>
      </c>
      <c r="G291" s="2" t="s">
        <v>21</v>
      </c>
      <c r="H291" s="2">
        <v>4</v>
      </c>
      <c r="I291" s="2">
        <v>30</v>
      </c>
      <c r="J291" s="2">
        <v>120</v>
      </c>
    </row>
    <row r="292" spans="2:10" x14ac:dyDescent="0.25">
      <c r="B292" s="2">
        <v>289</v>
      </c>
      <c r="C292" s="6">
        <v>45260</v>
      </c>
      <c r="D292" s="2" t="s">
        <v>309</v>
      </c>
      <c r="E292" s="2" t="s">
        <v>17</v>
      </c>
      <c r="F292" s="2">
        <v>53</v>
      </c>
      <c r="G292" s="2" t="s">
        <v>23</v>
      </c>
      <c r="H292" s="2">
        <v>2</v>
      </c>
      <c r="I292" s="2">
        <v>30</v>
      </c>
      <c r="J292" s="2">
        <v>60</v>
      </c>
    </row>
    <row r="293" spans="2:10" x14ac:dyDescent="0.25">
      <c r="B293" s="2">
        <v>290</v>
      </c>
      <c r="C293" s="6">
        <v>45203</v>
      </c>
      <c r="D293" s="2" t="s">
        <v>310</v>
      </c>
      <c r="E293" s="2" t="s">
        <v>20</v>
      </c>
      <c r="F293" s="2">
        <v>30</v>
      </c>
      <c r="G293" s="2" t="s">
        <v>18</v>
      </c>
      <c r="H293" s="2">
        <v>2</v>
      </c>
      <c r="I293" s="2">
        <v>300</v>
      </c>
      <c r="J293" s="2">
        <v>600</v>
      </c>
    </row>
    <row r="294" spans="2:10" x14ac:dyDescent="0.25">
      <c r="B294" s="2">
        <v>291</v>
      </c>
      <c r="C294" s="6">
        <v>44934</v>
      </c>
      <c r="D294" s="2" t="s">
        <v>311</v>
      </c>
      <c r="E294" s="2" t="s">
        <v>17</v>
      </c>
      <c r="F294" s="2">
        <v>60</v>
      </c>
      <c r="G294" s="2" t="s">
        <v>21</v>
      </c>
      <c r="H294" s="2">
        <v>2</v>
      </c>
      <c r="I294" s="2">
        <v>300</v>
      </c>
      <c r="J294" s="2">
        <v>600</v>
      </c>
    </row>
    <row r="295" spans="2:10" x14ac:dyDescent="0.25">
      <c r="B295" s="2">
        <v>292</v>
      </c>
      <c r="C295" s="6">
        <v>44974</v>
      </c>
      <c r="D295" s="2" t="s">
        <v>312</v>
      </c>
      <c r="E295" s="2" t="s">
        <v>17</v>
      </c>
      <c r="F295" s="2">
        <v>20</v>
      </c>
      <c r="G295" s="2" t="s">
        <v>18</v>
      </c>
      <c r="H295" s="2">
        <v>4</v>
      </c>
      <c r="I295" s="2">
        <v>300</v>
      </c>
      <c r="J295" s="2">
        <v>1200</v>
      </c>
    </row>
    <row r="296" spans="2:10" x14ac:dyDescent="0.25">
      <c r="B296" s="2">
        <v>293</v>
      </c>
      <c r="C296" s="6">
        <v>45048</v>
      </c>
      <c r="D296" s="2" t="s">
        <v>313</v>
      </c>
      <c r="E296" s="2" t="s">
        <v>17</v>
      </c>
      <c r="F296" s="2">
        <v>50</v>
      </c>
      <c r="G296" s="2" t="s">
        <v>23</v>
      </c>
      <c r="H296" s="2">
        <v>3</v>
      </c>
      <c r="I296" s="2">
        <v>30</v>
      </c>
      <c r="J296" s="2">
        <v>90</v>
      </c>
    </row>
    <row r="297" spans="2:10" x14ac:dyDescent="0.25">
      <c r="B297" s="2">
        <v>294</v>
      </c>
      <c r="C297" s="6">
        <v>45012</v>
      </c>
      <c r="D297" s="2" t="s">
        <v>314</v>
      </c>
      <c r="E297" s="2" t="s">
        <v>20</v>
      </c>
      <c r="F297" s="2">
        <v>23</v>
      </c>
      <c r="G297" s="2" t="s">
        <v>21</v>
      </c>
      <c r="H297" s="2">
        <v>3</v>
      </c>
      <c r="I297" s="2">
        <v>30</v>
      </c>
      <c r="J297" s="2">
        <v>90</v>
      </c>
    </row>
    <row r="298" spans="2:10" x14ac:dyDescent="0.25">
      <c r="B298" s="2">
        <v>295</v>
      </c>
      <c r="C298" s="6">
        <v>45135</v>
      </c>
      <c r="D298" s="2" t="s">
        <v>315</v>
      </c>
      <c r="E298" s="2" t="s">
        <v>20</v>
      </c>
      <c r="F298" s="2">
        <v>27</v>
      </c>
      <c r="G298" s="2" t="s">
        <v>18</v>
      </c>
      <c r="H298" s="2">
        <v>3</v>
      </c>
      <c r="I298" s="2">
        <v>300</v>
      </c>
      <c r="J298" s="2">
        <v>900</v>
      </c>
    </row>
    <row r="299" spans="2:10" x14ac:dyDescent="0.25">
      <c r="B299" s="2">
        <v>296</v>
      </c>
      <c r="C299" s="6">
        <v>45175</v>
      </c>
      <c r="D299" s="2" t="s">
        <v>316</v>
      </c>
      <c r="E299" s="2" t="s">
        <v>20</v>
      </c>
      <c r="F299" s="2">
        <v>22</v>
      </c>
      <c r="G299" s="2" t="s">
        <v>21</v>
      </c>
      <c r="H299" s="2">
        <v>4</v>
      </c>
      <c r="I299" s="2">
        <v>300</v>
      </c>
      <c r="J299" s="2">
        <v>1200</v>
      </c>
    </row>
    <row r="300" spans="2:10" x14ac:dyDescent="0.25">
      <c r="B300" s="2">
        <v>297</v>
      </c>
      <c r="C300" s="6">
        <v>45173</v>
      </c>
      <c r="D300" s="2" t="s">
        <v>317</v>
      </c>
      <c r="E300" s="2" t="s">
        <v>20</v>
      </c>
      <c r="F300" s="2">
        <v>40</v>
      </c>
      <c r="G300" s="2" t="s">
        <v>23</v>
      </c>
      <c r="H300" s="2">
        <v>2</v>
      </c>
      <c r="I300" s="2">
        <v>500</v>
      </c>
      <c r="J300" s="2">
        <v>1000</v>
      </c>
    </row>
    <row r="301" spans="2:10" x14ac:dyDescent="0.25">
      <c r="B301" s="2">
        <v>298</v>
      </c>
      <c r="C301" s="6">
        <v>45036</v>
      </c>
      <c r="D301" s="2" t="s">
        <v>318</v>
      </c>
      <c r="E301" s="2" t="s">
        <v>17</v>
      </c>
      <c r="F301" s="2">
        <v>27</v>
      </c>
      <c r="G301" s="2" t="s">
        <v>18</v>
      </c>
      <c r="H301" s="2">
        <v>4</v>
      </c>
      <c r="I301" s="2">
        <v>300</v>
      </c>
      <c r="J301" s="2">
        <v>1200</v>
      </c>
    </row>
    <row r="302" spans="2:10" x14ac:dyDescent="0.25">
      <c r="B302" s="2">
        <v>299</v>
      </c>
      <c r="C302" s="6">
        <v>45132</v>
      </c>
      <c r="D302" s="2" t="s">
        <v>319</v>
      </c>
      <c r="E302" s="2" t="s">
        <v>17</v>
      </c>
      <c r="F302" s="2">
        <v>61</v>
      </c>
      <c r="G302" s="2" t="s">
        <v>23</v>
      </c>
      <c r="H302" s="2">
        <v>2</v>
      </c>
      <c r="I302" s="2">
        <v>500</v>
      </c>
      <c r="J302" s="2">
        <v>1000</v>
      </c>
    </row>
    <row r="303" spans="2:10" x14ac:dyDescent="0.25">
      <c r="B303" s="2">
        <v>300</v>
      </c>
      <c r="C303" s="6">
        <v>44957</v>
      </c>
      <c r="D303" s="2" t="s">
        <v>320</v>
      </c>
      <c r="E303" s="2" t="s">
        <v>20</v>
      </c>
      <c r="F303" s="2">
        <v>19</v>
      </c>
      <c r="G303" s="2" t="s">
        <v>23</v>
      </c>
      <c r="H303" s="2">
        <v>4</v>
      </c>
      <c r="I303" s="2">
        <v>50</v>
      </c>
      <c r="J303" s="2">
        <v>200</v>
      </c>
    </row>
    <row r="304" spans="2:10" x14ac:dyDescent="0.25">
      <c r="B304" s="2">
        <v>301</v>
      </c>
      <c r="C304" s="6">
        <v>45011</v>
      </c>
      <c r="D304" s="2" t="s">
        <v>321</v>
      </c>
      <c r="E304" s="2" t="s">
        <v>17</v>
      </c>
      <c r="F304" s="2">
        <v>30</v>
      </c>
      <c r="G304" s="2" t="s">
        <v>21</v>
      </c>
      <c r="H304" s="2">
        <v>4</v>
      </c>
      <c r="I304" s="2">
        <v>30</v>
      </c>
      <c r="J304" s="2">
        <v>120</v>
      </c>
    </row>
    <row r="305" spans="2:10" x14ac:dyDescent="0.25">
      <c r="B305" s="2">
        <v>302</v>
      </c>
      <c r="C305" s="6">
        <v>45121</v>
      </c>
      <c r="D305" s="2" t="s">
        <v>322</v>
      </c>
      <c r="E305" s="2" t="s">
        <v>17</v>
      </c>
      <c r="F305" s="2">
        <v>57</v>
      </c>
      <c r="G305" s="2" t="s">
        <v>18</v>
      </c>
      <c r="H305" s="2">
        <v>2</v>
      </c>
      <c r="I305" s="2">
        <v>300</v>
      </c>
      <c r="J305" s="2">
        <v>600</v>
      </c>
    </row>
    <row r="306" spans="2:10" x14ac:dyDescent="0.25">
      <c r="B306" s="2">
        <v>303</v>
      </c>
      <c r="C306" s="6">
        <v>44928</v>
      </c>
      <c r="D306" s="2" t="s">
        <v>323</v>
      </c>
      <c r="E306" s="2" t="s">
        <v>17</v>
      </c>
      <c r="F306" s="2">
        <v>19</v>
      </c>
      <c r="G306" s="2" t="s">
        <v>23</v>
      </c>
      <c r="H306" s="2">
        <v>3</v>
      </c>
      <c r="I306" s="2">
        <v>30</v>
      </c>
      <c r="J306" s="2">
        <v>90</v>
      </c>
    </row>
    <row r="307" spans="2:10" x14ac:dyDescent="0.25">
      <c r="B307" s="2">
        <v>304</v>
      </c>
      <c r="C307" s="6">
        <v>45126</v>
      </c>
      <c r="D307" s="2" t="s">
        <v>324</v>
      </c>
      <c r="E307" s="2" t="s">
        <v>20</v>
      </c>
      <c r="F307" s="2">
        <v>37</v>
      </c>
      <c r="G307" s="2" t="s">
        <v>23</v>
      </c>
      <c r="H307" s="2">
        <v>2</v>
      </c>
      <c r="I307" s="2">
        <v>30</v>
      </c>
      <c r="J307" s="2">
        <v>60</v>
      </c>
    </row>
    <row r="308" spans="2:10" x14ac:dyDescent="0.25">
      <c r="B308" s="2">
        <v>305</v>
      </c>
      <c r="C308" s="6">
        <v>45062</v>
      </c>
      <c r="D308" s="2" t="s">
        <v>325</v>
      </c>
      <c r="E308" s="2" t="s">
        <v>20</v>
      </c>
      <c r="F308" s="2">
        <v>18</v>
      </c>
      <c r="G308" s="2" t="s">
        <v>18</v>
      </c>
      <c r="H308" s="2">
        <v>1</v>
      </c>
      <c r="I308" s="2">
        <v>30</v>
      </c>
      <c r="J308" s="2">
        <v>30</v>
      </c>
    </row>
    <row r="309" spans="2:10" x14ac:dyDescent="0.25">
      <c r="B309" s="2">
        <v>306</v>
      </c>
      <c r="C309" s="6">
        <v>45159</v>
      </c>
      <c r="D309" s="2" t="s">
        <v>326</v>
      </c>
      <c r="E309" s="2" t="s">
        <v>17</v>
      </c>
      <c r="F309" s="2">
        <v>54</v>
      </c>
      <c r="G309" s="2" t="s">
        <v>23</v>
      </c>
      <c r="H309" s="2">
        <v>1</v>
      </c>
      <c r="I309" s="2">
        <v>50</v>
      </c>
      <c r="J309" s="2">
        <v>50</v>
      </c>
    </row>
    <row r="310" spans="2:10" x14ac:dyDescent="0.25">
      <c r="B310" s="2">
        <v>307</v>
      </c>
      <c r="C310" s="6">
        <v>45073</v>
      </c>
      <c r="D310" s="2" t="s">
        <v>327</v>
      </c>
      <c r="E310" s="2" t="s">
        <v>20</v>
      </c>
      <c r="F310" s="2">
        <v>26</v>
      </c>
      <c r="G310" s="2" t="s">
        <v>23</v>
      </c>
      <c r="H310" s="2">
        <v>2</v>
      </c>
      <c r="I310" s="2">
        <v>25</v>
      </c>
      <c r="J310" s="2">
        <v>50</v>
      </c>
    </row>
    <row r="311" spans="2:10" x14ac:dyDescent="0.25">
      <c r="B311" s="2">
        <v>308</v>
      </c>
      <c r="C311" s="6">
        <v>45143</v>
      </c>
      <c r="D311" s="2" t="s">
        <v>328</v>
      </c>
      <c r="E311" s="2" t="s">
        <v>20</v>
      </c>
      <c r="F311" s="2">
        <v>34</v>
      </c>
      <c r="G311" s="2" t="s">
        <v>18</v>
      </c>
      <c r="H311" s="2">
        <v>4</v>
      </c>
      <c r="I311" s="2">
        <v>300</v>
      </c>
      <c r="J311" s="2">
        <v>1200</v>
      </c>
    </row>
    <row r="312" spans="2:10" x14ac:dyDescent="0.25">
      <c r="B312" s="2">
        <v>309</v>
      </c>
      <c r="C312" s="6">
        <v>45283</v>
      </c>
      <c r="D312" s="2" t="s">
        <v>329</v>
      </c>
      <c r="E312" s="2" t="s">
        <v>20</v>
      </c>
      <c r="F312" s="2">
        <v>26</v>
      </c>
      <c r="G312" s="2" t="s">
        <v>18</v>
      </c>
      <c r="H312" s="2">
        <v>1</v>
      </c>
      <c r="I312" s="2">
        <v>25</v>
      </c>
      <c r="J312" s="2">
        <v>25</v>
      </c>
    </row>
    <row r="313" spans="2:10" x14ac:dyDescent="0.25">
      <c r="B313" s="2">
        <v>310</v>
      </c>
      <c r="C313" s="6">
        <v>45211</v>
      </c>
      <c r="D313" s="2" t="s">
        <v>330</v>
      </c>
      <c r="E313" s="2" t="s">
        <v>20</v>
      </c>
      <c r="F313" s="2">
        <v>28</v>
      </c>
      <c r="G313" s="2" t="s">
        <v>18</v>
      </c>
      <c r="H313" s="2">
        <v>1</v>
      </c>
      <c r="I313" s="2">
        <v>25</v>
      </c>
      <c r="J313" s="2">
        <v>25</v>
      </c>
    </row>
    <row r="314" spans="2:10" x14ac:dyDescent="0.25">
      <c r="B314" s="2">
        <v>311</v>
      </c>
      <c r="C314" s="6">
        <v>45265</v>
      </c>
      <c r="D314" s="2" t="s">
        <v>331</v>
      </c>
      <c r="E314" s="2" t="s">
        <v>20</v>
      </c>
      <c r="F314" s="2">
        <v>32</v>
      </c>
      <c r="G314" s="2" t="s">
        <v>18</v>
      </c>
      <c r="H314" s="2">
        <v>4</v>
      </c>
      <c r="I314" s="2">
        <v>25</v>
      </c>
      <c r="J314" s="2">
        <v>100</v>
      </c>
    </row>
    <row r="315" spans="2:10" x14ac:dyDescent="0.25">
      <c r="B315" s="2">
        <v>312</v>
      </c>
      <c r="C315" s="6">
        <v>45176</v>
      </c>
      <c r="D315" s="2" t="s">
        <v>332</v>
      </c>
      <c r="E315" s="2" t="s">
        <v>17</v>
      </c>
      <c r="F315" s="2">
        <v>41</v>
      </c>
      <c r="G315" s="2" t="s">
        <v>21</v>
      </c>
      <c r="H315" s="2">
        <v>4</v>
      </c>
      <c r="I315" s="2">
        <v>30</v>
      </c>
      <c r="J315" s="2">
        <v>120</v>
      </c>
    </row>
    <row r="316" spans="2:10" x14ac:dyDescent="0.25">
      <c r="B316" s="2">
        <v>313</v>
      </c>
      <c r="C316" s="6">
        <v>45006</v>
      </c>
      <c r="D316" s="2" t="s">
        <v>333</v>
      </c>
      <c r="E316" s="2" t="s">
        <v>20</v>
      </c>
      <c r="F316" s="2">
        <v>55</v>
      </c>
      <c r="G316" s="2" t="s">
        <v>18</v>
      </c>
      <c r="H316" s="2">
        <v>3</v>
      </c>
      <c r="I316" s="2">
        <v>500</v>
      </c>
      <c r="J316" s="2">
        <v>1500</v>
      </c>
    </row>
    <row r="317" spans="2:10" x14ac:dyDescent="0.25">
      <c r="B317" s="2">
        <v>314</v>
      </c>
      <c r="C317" s="6">
        <v>45024</v>
      </c>
      <c r="D317" s="2" t="s">
        <v>334</v>
      </c>
      <c r="E317" s="2" t="s">
        <v>17</v>
      </c>
      <c r="F317" s="2">
        <v>52</v>
      </c>
      <c r="G317" s="2" t="s">
        <v>21</v>
      </c>
      <c r="H317" s="2">
        <v>4</v>
      </c>
      <c r="I317" s="2">
        <v>30</v>
      </c>
      <c r="J317" s="2">
        <v>120</v>
      </c>
    </row>
    <row r="318" spans="2:10" x14ac:dyDescent="0.25">
      <c r="B318" s="2">
        <v>315</v>
      </c>
      <c r="C318" s="6">
        <v>45078</v>
      </c>
      <c r="D318" s="2" t="s">
        <v>335</v>
      </c>
      <c r="E318" s="2" t="s">
        <v>17</v>
      </c>
      <c r="F318" s="2">
        <v>47</v>
      </c>
      <c r="G318" s="2" t="s">
        <v>21</v>
      </c>
      <c r="H318" s="2">
        <v>2</v>
      </c>
      <c r="I318" s="2">
        <v>30</v>
      </c>
      <c r="J318" s="2">
        <v>60</v>
      </c>
    </row>
    <row r="319" spans="2:10" x14ac:dyDescent="0.25">
      <c r="B319" s="2">
        <v>316</v>
      </c>
      <c r="C319" s="6">
        <v>45038</v>
      </c>
      <c r="D319" s="2" t="s">
        <v>336</v>
      </c>
      <c r="E319" s="2" t="s">
        <v>20</v>
      </c>
      <c r="F319" s="2">
        <v>48</v>
      </c>
      <c r="G319" s="2" t="s">
        <v>21</v>
      </c>
      <c r="H319" s="2">
        <v>2</v>
      </c>
      <c r="I319" s="2">
        <v>25</v>
      </c>
      <c r="J319" s="2">
        <v>50</v>
      </c>
    </row>
    <row r="320" spans="2:10" x14ac:dyDescent="0.25">
      <c r="B320" s="2">
        <v>317</v>
      </c>
      <c r="C320" s="6">
        <v>44956</v>
      </c>
      <c r="D320" s="2" t="s">
        <v>337</v>
      </c>
      <c r="E320" s="2" t="s">
        <v>17</v>
      </c>
      <c r="F320" s="2">
        <v>22</v>
      </c>
      <c r="G320" s="2" t="s">
        <v>23</v>
      </c>
      <c r="H320" s="2">
        <v>3</v>
      </c>
      <c r="I320" s="2">
        <v>30</v>
      </c>
      <c r="J320" s="2">
        <v>90</v>
      </c>
    </row>
    <row r="321" spans="2:10" x14ac:dyDescent="0.25">
      <c r="B321" s="2">
        <v>318</v>
      </c>
      <c r="C321" s="6">
        <v>45223</v>
      </c>
      <c r="D321" s="2" t="s">
        <v>338</v>
      </c>
      <c r="E321" s="2" t="s">
        <v>17</v>
      </c>
      <c r="F321" s="2">
        <v>61</v>
      </c>
      <c r="G321" s="2" t="s">
        <v>21</v>
      </c>
      <c r="H321" s="2">
        <v>1</v>
      </c>
      <c r="I321" s="2">
        <v>25</v>
      </c>
      <c r="J321" s="2">
        <v>25</v>
      </c>
    </row>
    <row r="322" spans="2:10" x14ac:dyDescent="0.25">
      <c r="B322" s="2">
        <v>319</v>
      </c>
      <c r="C322" s="6">
        <v>45204</v>
      </c>
      <c r="D322" s="2" t="s">
        <v>339</v>
      </c>
      <c r="E322" s="2" t="s">
        <v>17</v>
      </c>
      <c r="F322" s="2">
        <v>31</v>
      </c>
      <c r="G322" s="2" t="s">
        <v>21</v>
      </c>
      <c r="H322" s="2">
        <v>1</v>
      </c>
      <c r="I322" s="2">
        <v>500</v>
      </c>
      <c r="J322" s="2">
        <v>500</v>
      </c>
    </row>
    <row r="323" spans="2:10" x14ac:dyDescent="0.25">
      <c r="B323" s="2">
        <v>320</v>
      </c>
      <c r="C323" s="6">
        <v>44958</v>
      </c>
      <c r="D323" s="2" t="s">
        <v>340</v>
      </c>
      <c r="E323" s="2" t="s">
        <v>20</v>
      </c>
      <c r="F323" s="2">
        <v>28</v>
      </c>
      <c r="G323" s="2" t="s">
        <v>23</v>
      </c>
      <c r="H323" s="2">
        <v>4</v>
      </c>
      <c r="I323" s="2">
        <v>300</v>
      </c>
      <c r="J323" s="2">
        <v>1200</v>
      </c>
    </row>
    <row r="324" spans="2:10" x14ac:dyDescent="0.25">
      <c r="B324" s="2">
        <v>321</v>
      </c>
      <c r="C324" s="6">
        <v>45087</v>
      </c>
      <c r="D324" s="2" t="s">
        <v>341</v>
      </c>
      <c r="E324" s="2" t="s">
        <v>20</v>
      </c>
      <c r="F324" s="2">
        <v>26</v>
      </c>
      <c r="G324" s="2" t="s">
        <v>23</v>
      </c>
      <c r="H324" s="2">
        <v>2</v>
      </c>
      <c r="I324" s="2">
        <v>25</v>
      </c>
      <c r="J324" s="2">
        <v>50</v>
      </c>
    </row>
    <row r="325" spans="2:10" x14ac:dyDescent="0.25">
      <c r="B325" s="2">
        <v>322</v>
      </c>
      <c r="C325" s="6">
        <v>44956</v>
      </c>
      <c r="D325" s="2" t="s">
        <v>342</v>
      </c>
      <c r="E325" s="2" t="s">
        <v>17</v>
      </c>
      <c r="F325" s="2">
        <v>51</v>
      </c>
      <c r="G325" s="2" t="s">
        <v>23</v>
      </c>
      <c r="H325" s="2">
        <v>1</v>
      </c>
      <c r="I325" s="2">
        <v>500</v>
      </c>
      <c r="J325" s="2">
        <v>500</v>
      </c>
    </row>
    <row r="326" spans="2:10" x14ac:dyDescent="0.25">
      <c r="B326" s="2">
        <v>323</v>
      </c>
      <c r="C326" s="6">
        <v>44952</v>
      </c>
      <c r="D326" s="2" t="s">
        <v>343</v>
      </c>
      <c r="E326" s="2" t="s">
        <v>20</v>
      </c>
      <c r="F326" s="2">
        <v>29</v>
      </c>
      <c r="G326" s="2" t="s">
        <v>18</v>
      </c>
      <c r="H326" s="2">
        <v>3</v>
      </c>
      <c r="I326" s="2">
        <v>300</v>
      </c>
      <c r="J326" s="2">
        <v>900</v>
      </c>
    </row>
    <row r="327" spans="2:10" x14ac:dyDescent="0.25">
      <c r="B327" s="2">
        <v>324</v>
      </c>
      <c r="C327" s="6">
        <v>45226</v>
      </c>
      <c r="D327" s="2" t="s">
        <v>344</v>
      </c>
      <c r="E327" s="2" t="s">
        <v>20</v>
      </c>
      <c r="F327" s="2">
        <v>52</v>
      </c>
      <c r="G327" s="2" t="s">
        <v>23</v>
      </c>
      <c r="H327" s="2">
        <v>3</v>
      </c>
      <c r="I327" s="2">
        <v>50</v>
      </c>
      <c r="J327" s="2">
        <v>150</v>
      </c>
    </row>
    <row r="328" spans="2:10" x14ac:dyDescent="0.25">
      <c r="B328" s="2">
        <v>325</v>
      </c>
      <c r="C328" s="6">
        <v>45171</v>
      </c>
      <c r="D328" s="2" t="s">
        <v>345</v>
      </c>
      <c r="E328" s="2" t="s">
        <v>20</v>
      </c>
      <c r="F328" s="2">
        <v>52</v>
      </c>
      <c r="G328" s="2" t="s">
        <v>23</v>
      </c>
      <c r="H328" s="2">
        <v>2</v>
      </c>
      <c r="I328" s="2">
        <v>25</v>
      </c>
      <c r="J328" s="2">
        <v>50</v>
      </c>
    </row>
    <row r="329" spans="2:10" x14ac:dyDescent="0.25">
      <c r="B329" s="2">
        <v>326</v>
      </c>
      <c r="C329" s="6">
        <v>45184</v>
      </c>
      <c r="D329" s="2" t="s">
        <v>346</v>
      </c>
      <c r="E329" s="2" t="s">
        <v>20</v>
      </c>
      <c r="F329" s="2">
        <v>18</v>
      </c>
      <c r="G329" s="2" t="s">
        <v>21</v>
      </c>
      <c r="H329" s="2">
        <v>3</v>
      </c>
      <c r="I329" s="2">
        <v>25</v>
      </c>
      <c r="J329" s="2">
        <v>75</v>
      </c>
    </row>
    <row r="330" spans="2:10" x14ac:dyDescent="0.25">
      <c r="B330" s="2">
        <v>327</v>
      </c>
      <c r="C330" s="6">
        <v>45198</v>
      </c>
      <c r="D330" s="2" t="s">
        <v>347</v>
      </c>
      <c r="E330" s="2" t="s">
        <v>17</v>
      </c>
      <c r="F330" s="2">
        <v>57</v>
      </c>
      <c r="G330" s="2" t="s">
        <v>23</v>
      </c>
      <c r="H330" s="2">
        <v>3</v>
      </c>
      <c r="I330" s="2">
        <v>50</v>
      </c>
      <c r="J330" s="2">
        <v>150</v>
      </c>
    </row>
    <row r="331" spans="2:10" x14ac:dyDescent="0.25">
      <c r="B331" s="2">
        <v>328</v>
      </c>
      <c r="C331" s="6">
        <v>45007</v>
      </c>
      <c r="D331" s="2" t="s">
        <v>348</v>
      </c>
      <c r="E331" s="2" t="s">
        <v>17</v>
      </c>
      <c r="F331" s="2">
        <v>39</v>
      </c>
      <c r="G331" s="2" t="s">
        <v>18</v>
      </c>
      <c r="H331" s="2">
        <v>2</v>
      </c>
      <c r="I331" s="2">
        <v>50</v>
      </c>
      <c r="J331" s="2">
        <v>100</v>
      </c>
    </row>
    <row r="332" spans="2:10" x14ac:dyDescent="0.25">
      <c r="B332" s="2">
        <v>329</v>
      </c>
      <c r="C332" s="6">
        <v>44956</v>
      </c>
      <c r="D332" s="2" t="s">
        <v>349</v>
      </c>
      <c r="E332" s="2" t="s">
        <v>20</v>
      </c>
      <c r="F332" s="2">
        <v>46</v>
      </c>
      <c r="G332" s="2" t="s">
        <v>23</v>
      </c>
      <c r="H332" s="2">
        <v>4</v>
      </c>
      <c r="I332" s="2">
        <v>25</v>
      </c>
      <c r="J332" s="2">
        <v>100</v>
      </c>
    </row>
    <row r="333" spans="2:10" x14ac:dyDescent="0.25">
      <c r="B333" s="2">
        <v>330</v>
      </c>
      <c r="C333" s="6">
        <v>45187</v>
      </c>
      <c r="D333" s="2" t="s">
        <v>350</v>
      </c>
      <c r="E333" s="2" t="s">
        <v>20</v>
      </c>
      <c r="F333" s="2">
        <v>25</v>
      </c>
      <c r="G333" s="2" t="s">
        <v>18</v>
      </c>
      <c r="H333" s="2">
        <v>4</v>
      </c>
      <c r="I333" s="2">
        <v>50</v>
      </c>
      <c r="J333" s="2">
        <v>200</v>
      </c>
    </row>
    <row r="334" spans="2:10" x14ac:dyDescent="0.25">
      <c r="B334" s="2">
        <v>331</v>
      </c>
      <c r="C334" s="6">
        <v>44968</v>
      </c>
      <c r="D334" s="2" t="s">
        <v>351</v>
      </c>
      <c r="E334" s="2" t="s">
        <v>17</v>
      </c>
      <c r="F334" s="2">
        <v>28</v>
      </c>
      <c r="G334" s="2" t="s">
        <v>23</v>
      </c>
      <c r="H334" s="2">
        <v>3</v>
      </c>
      <c r="I334" s="2">
        <v>30</v>
      </c>
      <c r="J334" s="2">
        <v>90</v>
      </c>
    </row>
    <row r="335" spans="2:10" x14ac:dyDescent="0.25">
      <c r="B335" s="2">
        <v>332</v>
      </c>
      <c r="C335" s="6">
        <v>45022</v>
      </c>
      <c r="D335" s="2" t="s">
        <v>352</v>
      </c>
      <c r="E335" s="2" t="s">
        <v>17</v>
      </c>
      <c r="F335" s="2">
        <v>58</v>
      </c>
      <c r="G335" s="2" t="s">
        <v>23</v>
      </c>
      <c r="H335" s="2">
        <v>4</v>
      </c>
      <c r="I335" s="2">
        <v>300</v>
      </c>
      <c r="J335" s="2">
        <v>1200</v>
      </c>
    </row>
    <row r="336" spans="2:10" x14ac:dyDescent="0.25">
      <c r="B336" s="2">
        <v>333</v>
      </c>
      <c r="C336" s="6">
        <v>44962</v>
      </c>
      <c r="D336" s="2" t="s">
        <v>353</v>
      </c>
      <c r="E336" s="2" t="s">
        <v>20</v>
      </c>
      <c r="F336" s="2">
        <v>54</v>
      </c>
      <c r="G336" s="2" t="s">
        <v>23</v>
      </c>
      <c r="H336" s="2">
        <v>4</v>
      </c>
      <c r="I336" s="2">
        <v>300</v>
      </c>
      <c r="J336" s="2">
        <v>1200</v>
      </c>
    </row>
    <row r="337" spans="2:10" x14ac:dyDescent="0.25">
      <c r="B337" s="2">
        <v>334</v>
      </c>
      <c r="C337" s="6">
        <v>45231</v>
      </c>
      <c r="D337" s="2" t="s">
        <v>354</v>
      </c>
      <c r="E337" s="2" t="s">
        <v>17</v>
      </c>
      <c r="F337" s="2">
        <v>31</v>
      </c>
      <c r="G337" s="2" t="s">
        <v>23</v>
      </c>
      <c r="H337" s="2">
        <v>3</v>
      </c>
      <c r="I337" s="2">
        <v>300</v>
      </c>
      <c r="J337" s="2">
        <v>900</v>
      </c>
    </row>
    <row r="338" spans="2:10" x14ac:dyDescent="0.25">
      <c r="B338" s="2">
        <v>335</v>
      </c>
      <c r="C338" s="6">
        <v>44961</v>
      </c>
      <c r="D338" s="2" t="s">
        <v>355</v>
      </c>
      <c r="E338" s="2" t="s">
        <v>20</v>
      </c>
      <c r="F338" s="2">
        <v>47</v>
      </c>
      <c r="G338" s="2" t="s">
        <v>18</v>
      </c>
      <c r="H338" s="2">
        <v>4</v>
      </c>
      <c r="I338" s="2">
        <v>30</v>
      </c>
      <c r="J338" s="2">
        <v>120</v>
      </c>
    </row>
    <row r="339" spans="2:10" x14ac:dyDescent="0.25">
      <c r="B339" s="2">
        <v>336</v>
      </c>
      <c r="C339" s="6">
        <v>45272</v>
      </c>
      <c r="D339" s="2" t="s">
        <v>356</v>
      </c>
      <c r="E339" s="2" t="s">
        <v>20</v>
      </c>
      <c r="F339" s="2">
        <v>52</v>
      </c>
      <c r="G339" s="2" t="s">
        <v>18</v>
      </c>
      <c r="H339" s="2">
        <v>3</v>
      </c>
      <c r="I339" s="2">
        <v>50</v>
      </c>
      <c r="J339" s="2">
        <v>150</v>
      </c>
    </row>
    <row r="340" spans="2:10" x14ac:dyDescent="0.25">
      <c r="B340" s="2">
        <v>337</v>
      </c>
      <c r="C340" s="6">
        <v>45047</v>
      </c>
      <c r="D340" s="2" t="s">
        <v>357</v>
      </c>
      <c r="E340" s="2" t="s">
        <v>17</v>
      </c>
      <c r="F340" s="2">
        <v>38</v>
      </c>
      <c r="G340" s="2" t="s">
        <v>21</v>
      </c>
      <c r="H340" s="2">
        <v>1</v>
      </c>
      <c r="I340" s="2">
        <v>500</v>
      </c>
      <c r="J340" s="2">
        <v>500</v>
      </c>
    </row>
    <row r="341" spans="2:10" x14ac:dyDescent="0.25">
      <c r="B341" s="2">
        <v>338</v>
      </c>
      <c r="C341" s="6">
        <v>45133</v>
      </c>
      <c r="D341" s="2" t="s">
        <v>358</v>
      </c>
      <c r="E341" s="2" t="s">
        <v>17</v>
      </c>
      <c r="F341" s="2">
        <v>54</v>
      </c>
      <c r="G341" s="2" t="s">
        <v>18</v>
      </c>
      <c r="H341" s="2">
        <v>2</v>
      </c>
      <c r="I341" s="2">
        <v>50</v>
      </c>
      <c r="J341" s="2">
        <v>100</v>
      </c>
    </row>
    <row r="342" spans="2:10" x14ac:dyDescent="0.25">
      <c r="B342" s="2">
        <v>339</v>
      </c>
      <c r="C342" s="6">
        <v>44988</v>
      </c>
      <c r="D342" s="2" t="s">
        <v>359</v>
      </c>
      <c r="E342" s="2" t="s">
        <v>20</v>
      </c>
      <c r="F342" s="2">
        <v>22</v>
      </c>
      <c r="G342" s="2" t="s">
        <v>23</v>
      </c>
      <c r="H342" s="2">
        <v>2</v>
      </c>
      <c r="I342" s="2">
        <v>25</v>
      </c>
      <c r="J342" s="2">
        <v>50</v>
      </c>
    </row>
    <row r="343" spans="2:10" x14ac:dyDescent="0.25">
      <c r="B343" s="2">
        <v>340</v>
      </c>
      <c r="C343" s="6">
        <v>45218</v>
      </c>
      <c r="D343" s="2" t="s">
        <v>360</v>
      </c>
      <c r="E343" s="2" t="s">
        <v>20</v>
      </c>
      <c r="F343" s="2">
        <v>36</v>
      </c>
      <c r="G343" s="2" t="s">
        <v>21</v>
      </c>
      <c r="H343" s="2">
        <v>4</v>
      </c>
      <c r="I343" s="2">
        <v>300</v>
      </c>
      <c r="J343" s="2">
        <v>1200</v>
      </c>
    </row>
    <row r="344" spans="2:10" x14ac:dyDescent="0.25">
      <c r="B344" s="2">
        <v>341</v>
      </c>
      <c r="C344" s="6">
        <v>45053</v>
      </c>
      <c r="D344" s="2" t="s">
        <v>361</v>
      </c>
      <c r="E344" s="2" t="s">
        <v>17</v>
      </c>
      <c r="F344" s="2">
        <v>31</v>
      </c>
      <c r="G344" s="2" t="s">
        <v>21</v>
      </c>
      <c r="H344" s="2">
        <v>4</v>
      </c>
      <c r="I344" s="2">
        <v>50</v>
      </c>
      <c r="J344" s="2">
        <v>200</v>
      </c>
    </row>
    <row r="345" spans="2:10" x14ac:dyDescent="0.25">
      <c r="B345" s="2">
        <v>342</v>
      </c>
      <c r="C345" s="6">
        <v>45223</v>
      </c>
      <c r="D345" s="2" t="s">
        <v>362</v>
      </c>
      <c r="E345" s="2" t="s">
        <v>20</v>
      </c>
      <c r="F345" s="2">
        <v>43</v>
      </c>
      <c r="G345" s="2" t="s">
        <v>21</v>
      </c>
      <c r="H345" s="2">
        <v>4</v>
      </c>
      <c r="I345" s="2">
        <v>500</v>
      </c>
      <c r="J345" s="2">
        <v>2000</v>
      </c>
    </row>
    <row r="346" spans="2:10" x14ac:dyDescent="0.25">
      <c r="B346" s="2">
        <v>343</v>
      </c>
      <c r="C346" s="6">
        <v>45231</v>
      </c>
      <c r="D346" s="2" t="s">
        <v>363</v>
      </c>
      <c r="E346" s="2" t="s">
        <v>17</v>
      </c>
      <c r="F346" s="2">
        <v>21</v>
      </c>
      <c r="G346" s="2" t="s">
        <v>23</v>
      </c>
      <c r="H346" s="2">
        <v>2</v>
      </c>
      <c r="I346" s="2">
        <v>25</v>
      </c>
      <c r="J346" s="2">
        <v>50</v>
      </c>
    </row>
    <row r="347" spans="2:10" x14ac:dyDescent="0.25">
      <c r="B347" s="2">
        <v>344</v>
      </c>
      <c r="C347" s="6">
        <v>44947</v>
      </c>
      <c r="D347" s="2" t="s">
        <v>364</v>
      </c>
      <c r="E347" s="2" t="s">
        <v>20</v>
      </c>
      <c r="F347" s="2">
        <v>42</v>
      </c>
      <c r="G347" s="2" t="s">
        <v>18</v>
      </c>
      <c r="H347" s="2">
        <v>1</v>
      </c>
      <c r="I347" s="2">
        <v>30</v>
      </c>
      <c r="J347" s="2">
        <v>30</v>
      </c>
    </row>
    <row r="348" spans="2:10" x14ac:dyDescent="0.25">
      <c r="B348" s="2">
        <v>345</v>
      </c>
      <c r="C348" s="6">
        <v>45244</v>
      </c>
      <c r="D348" s="2" t="s">
        <v>365</v>
      </c>
      <c r="E348" s="2" t="s">
        <v>17</v>
      </c>
      <c r="F348" s="2">
        <v>62</v>
      </c>
      <c r="G348" s="2" t="s">
        <v>23</v>
      </c>
      <c r="H348" s="2">
        <v>1</v>
      </c>
      <c r="I348" s="2">
        <v>30</v>
      </c>
      <c r="J348" s="2">
        <v>30</v>
      </c>
    </row>
    <row r="349" spans="2:10" x14ac:dyDescent="0.25">
      <c r="B349" s="2">
        <v>346</v>
      </c>
      <c r="C349" s="6">
        <v>44968</v>
      </c>
      <c r="D349" s="2" t="s">
        <v>366</v>
      </c>
      <c r="E349" s="2" t="s">
        <v>17</v>
      </c>
      <c r="F349" s="2">
        <v>59</v>
      </c>
      <c r="G349" s="2" t="s">
        <v>21</v>
      </c>
      <c r="H349" s="2">
        <v>2</v>
      </c>
      <c r="I349" s="2">
        <v>500</v>
      </c>
      <c r="J349" s="2">
        <v>1000</v>
      </c>
    </row>
    <row r="350" spans="2:10" x14ac:dyDescent="0.25">
      <c r="B350" s="2">
        <v>347</v>
      </c>
      <c r="C350" s="6">
        <v>45141</v>
      </c>
      <c r="D350" s="2" t="s">
        <v>367</v>
      </c>
      <c r="E350" s="2" t="s">
        <v>17</v>
      </c>
      <c r="F350" s="2">
        <v>42</v>
      </c>
      <c r="G350" s="2" t="s">
        <v>23</v>
      </c>
      <c r="H350" s="2">
        <v>1</v>
      </c>
      <c r="I350" s="2">
        <v>25</v>
      </c>
      <c r="J350" s="2">
        <v>25</v>
      </c>
    </row>
    <row r="351" spans="2:10" x14ac:dyDescent="0.25">
      <c r="B351" s="2">
        <v>348</v>
      </c>
      <c r="C351" s="6">
        <v>45263</v>
      </c>
      <c r="D351" s="2" t="s">
        <v>368</v>
      </c>
      <c r="E351" s="2" t="s">
        <v>20</v>
      </c>
      <c r="F351" s="2">
        <v>35</v>
      </c>
      <c r="G351" s="2" t="s">
        <v>23</v>
      </c>
      <c r="H351" s="2">
        <v>2</v>
      </c>
      <c r="I351" s="2">
        <v>300</v>
      </c>
      <c r="J351" s="2">
        <v>600</v>
      </c>
    </row>
    <row r="352" spans="2:10" x14ac:dyDescent="0.25">
      <c r="B352" s="2">
        <v>349</v>
      </c>
      <c r="C352" s="6">
        <v>45225</v>
      </c>
      <c r="D352" s="2" t="s">
        <v>369</v>
      </c>
      <c r="E352" s="2" t="s">
        <v>20</v>
      </c>
      <c r="F352" s="2">
        <v>57</v>
      </c>
      <c r="G352" s="2" t="s">
        <v>18</v>
      </c>
      <c r="H352" s="2">
        <v>1</v>
      </c>
      <c r="I352" s="2">
        <v>50</v>
      </c>
      <c r="J352" s="2">
        <v>50</v>
      </c>
    </row>
    <row r="353" spans="2:10" x14ac:dyDescent="0.25">
      <c r="B353" s="2">
        <v>350</v>
      </c>
      <c r="C353" s="6">
        <v>45216</v>
      </c>
      <c r="D353" s="2" t="s">
        <v>370</v>
      </c>
      <c r="E353" s="2" t="s">
        <v>17</v>
      </c>
      <c r="F353" s="2">
        <v>25</v>
      </c>
      <c r="G353" s="2" t="s">
        <v>18</v>
      </c>
      <c r="H353" s="2">
        <v>3</v>
      </c>
      <c r="I353" s="2">
        <v>25</v>
      </c>
      <c r="J353" s="2">
        <v>75</v>
      </c>
    </row>
    <row r="354" spans="2:10" x14ac:dyDescent="0.25">
      <c r="B354" s="2">
        <v>351</v>
      </c>
      <c r="C354" s="6">
        <v>45194</v>
      </c>
      <c r="D354" s="2" t="s">
        <v>371</v>
      </c>
      <c r="E354" s="2" t="s">
        <v>20</v>
      </c>
      <c r="F354" s="2">
        <v>56</v>
      </c>
      <c r="G354" s="2" t="s">
        <v>21</v>
      </c>
      <c r="H354" s="2">
        <v>3</v>
      </c>
      <c r="I354" s="2">
        <v>30</v>
      </c>
      <c r="J354" s="2">
        <v>90</v>
      </c>
    </row>
    <row r="355" spans="2:10" x14ac:dyDescent="0.25">
      <c r="B355" s="2">
        <v>352</v>
      </c>
      <c r="C355" s="6">
        <v>45088</v>
      </c>
      <c r="D355" s="2" t="s">
        <v>372</v>
      </c>
      <c r="E355" s="2" t="s">
        <v>17</v>
      </c>
      <c r="F355" s="2">
        <v>57</v>
      </c>
      <c r="G355" s="2" t="s">
        <v>23</v>
      </c>
      <c r="H355" s="2">
        <v>2</v>
      </c>
      <c r="I355" s="2">
        <v>500</v>
      </c>
      <c r="J355" s="2">
        <v>1000</v>
      </c>
    </row>
    <row r="356" spans="2:10" x14ac:dyDescent="0.25">
      <c r="B356" s="2">
        <v>353</v>
      </c>
      <c r="C356" s="6">
        <v>45060</v>
      </c>
      <c r="D356" s="2" t="s">
        <v>373</v>
      </c>
      <c r="E356" s="2" t="s">
        <v>17</v>
      </c>
      <c r="F356" s="2">
        <v>31</v>
      </c>
      <c r="G356" s="2" t="s">
        <v>23</v>
      </c>
      <c r="H356" s="2">
        <v>1</v>
      </c>
      <c r="I356" s="2">
        <v>500</v>
      </c>
      <c r="J356" s="2">
        <v>500</v>
      </c>
    </row>
    <row r="357" spans="2:10" x14ac:dyDescent="0.25">
      <c r="B357" s="2">
        <v>354</v>
      </c>
      <c r="C357" s="6">
        <v>45031</v>
      </c>
      <c r="D357" s="2" t="s">
        <v>374</v>
      </c>
      <c r="E357" s="2" t="s">
        <v>20</v>
      </c>
      <c r="F357" s="2">
        <v>49</v>
      </c>
      <c r="G357" s="2" t="s">
        <v>18</v>
      </c>
      <c r="H357" s="2">
        <v>4</v>
      </c>
      <c r="I357" s="2">
        <v>50</v>
      </c>
      <c r="J357" s="2">
        <v>200</v>
      </c>
    </row>
    <row r="358" spans="2:10" x14ac:dyDescent="0.25">
      <c r="B358" s="2">
        <v>355</v>
      </c>
      <c r="C358" s="6">
        <v>45269</v>
      </c>
      <c r="D358" s="2" t="s">
        <v>375</v>
      </c>
      <c r="E358" s="2" t="s">
        <v>20</v>
      </c>
      <c r="F358" s="2">
        <v>55</v>
      </c>
      <c r="G358" s="2" t="s">
        <v>23</v>
      </c>
      <c r="H358" s="2">
        <v>1</v>
      </c>
      <c r="I358" s="2">
        <v>500</v>
      </c>
      <c r="J358" s="2">
        <v>500</v>
      </c>
    </row>
    <row r="359" spans="2:10" x14ac:dyDescent="0.25">
      <c r="B359" s="2">
        <v>356</v>
      </c>
      <c r="C359" s="6">
        <v>45087</v>
      </c>
      <c r="D359" s="2" t="s">
        <v>376</v>
      </c>
      <c r="E359" s="2" t="s">
        <v>17</v>
      </c>
      <c r="F359" s="2">
        <v>50</v>
      </c>
      <c r="G359" s="2" t="s">
        <v>23</v>
      </c>
      <c r="H359" s="2">
        <v>3</v>
      </c>
      <c r="I359" s="2">
        <v>500</v>
      </c>
      <c r="J359" s="2">
        <v>1500</v>
      </c>
    </row>
    <row r="360" spans="2:10" x14ac:dyDescent="0.25">
      <c r="B360" s="2">
        <v>357</v>
      </c>
      <c r="C360" s="6">
        <v>45049</v>
      </c>
      <c r="D360" s="2" t="s">
        <v>377</v>
      </c>
      <c r="E360" s="2" t="s">
        <v>20</v>
      </c>
      <c r="F360" s="2">
        <v>40</v>
      </c>
      <c r="G360" s="2" t="s">
        <v>23</v>
      </c>
      <c r="H360" s="2">
        <v>3</v>
      </c>
      <c r="I360" s="2">
        <v>25</v>
      </c>
      <c r="J360" s="2">
        <v>75</v>
      </c>
    </row>
    <row r="361" spans="2:10" x14ac:dyDescent="0.25">
      <c r="B361" s="2">
        <v>358</v>
      </c>
      <c r="C361" s="6">
        <v>45062</v>
      </c>
      <c r="D361" s="2" t="s">
        <v>378</v>
      </c>
      <c r="E361" s="2" t="s">
        <v>20</v>
      </c>
      <c r="F361" s="2">
        <v>32</v>
      </c>
      <c r="G361" s="2" t="s">
        <v>18</v>
      </c>
      <c r="H361" s="2">
        <v>1</v>
      </c>
      <c r="I361" s="2">
        <v>300</v>
      </c>
      <c r="J361" s="2">
        <v>300</v>
      </c>
    </row>
    <row r="362" spans="2:10" x14ac:dyDescent="0.25">
      <c r="B362" s="2">
        <v>359</v>
      </c>
      <c r="C362" s="6">
        <v>45129</v>
      </c>
      <c r="D362" s="2" t="s">
        <v>379</v>
      </c>
      <c r="E362" s="2" t="s">
        <v>17</v>
      </c>
      <c r="F362" s="2">
        <v>50</v>
      </c>
      <c r="G362" s="2" t="s">
        <v>21</v>
      </c>
      <c r="H362" s="2">
        <v>1</v>
      </c>
      <c r="I362" s="2">
        <v>50</v>
      </c>
      <c r="J362" s="2">
        <v>50</v>
      </c>
    </row>
    <row r="363" spans="2:10" x14ac:dyDescent="0.25">
      <c r="B363" s="2">
        <v>360</v>
      </c>
      <c r="C363" s="6">
        <v>44994</v>
      </c>
      <c r="D363" s="2" t="s">
        <v>380</v>
      </c>
      <c r="E363" s="2" t="s">
        <v>17</v>
      </c>
      <c r="F363" s="2">
        <v>42</v>
      </c>
      <c r="G363" s="2" t="s">
        <v>21</v>
      </c>
      <c r="H363" s="2">
        <v>4</v>
      </c>
      <c r="I363" s="2">
        <v>25</v>
      </c>
      <c r="J363" s="2">
        <v>100</v>
      </c>
    </row>
    <row r="364" spans="2:10" x14ac:dyDescent="0.25">
      <c r="B364" s="2">
        <v>361</v>
      </c>
      <c r="C364" s="6">
        <v>45270</v>
      </c>
      <c r="D364" s="2" t="s">
        <v>381</v>
      </c>
      <c r="E364" s="2" t="s">
        <v>20</v>
      </c>
      <c r="F364" s="2">
        <v>34</v>
      </c>
      <c r="G364" s="2" t="s">
        <v>23</v>
      </c>
      <c r="H364" s="2">
        <v>4</v>
      </c>
      <c r="I364" s="2">
        <v>300</v>
      </c>
      <c r="J364" s="2">
        <v>1200</v>
      </c>
    </row>
    <row r="365" spans="2:10" x14ac:dyDescent="0.25">
      <c r="B365" s="2">
        <v>362</v>
      </c>
      <c r="C365" s="6">
        <v>45257</v>
      </c>
      <c r="D365" s="2" t="s">
        <v>382</v>
      </c>
      <c r="E365" s="2" t="s">
        <v>17</v>
      </c>
      <c r="F365" s="2">
        <v>50</v>
      </c>
      <c r="G365" s="2" t="s">
        <v>21</v>
      </c>
      <c r="H365" s="2">
        <v>1</v>
      </c>
      <c r="I365" s="2">
        <v>25</v>
      </c>
      <c r="J365" s="2">
        <v>25</v>
      </c>
    </row>
    <row r="366" spans="2:10" x14ac:dyDescent="0.25">
      <c r="B366" s="2">
        <v>363</v>
      </c>
      <c r="C366" s="6">
        <v>45080</v>
      </c>
      <c r="D366" s="2" t="s">
        <v>383</v>
      </c>
      <c r="E366" s="2" t="s">
        <v>17</v>
      </c>
      <c r="F366" s="2">
        <v>64</v>
      </c>
      <c r="G366" s="2" t="s">
        <v>18</v>
      </c>
      <c r="H366" s="2">
        <v>1</v>
      </c>
      <c r="I366" s="2">
        <v>25</v>
      </c>
      <c r="J366" s="2">
        <v>25</v>
      </c>
    </row>
    <row r="367" spans="2:10" x14ac:dyDescent="0.25">
      <c r="B367" s="2">
        <v>364</v>
      </c>
      <c r="C367" s="6">
        <v>45161</v>
      </c>
      <c r="D367" s="2" t="s">
        <v>384</v>
      </c>
      <c r="E367" s="2" t="s">
        <v>20</v>
      </c>
      <c r="F367" s="2">
        <v>19</v>
      </c>
      <c r="G367" s="2" t="s">
        <v>18</v>
      </c>
      <c r="H367" s="2">
        <v>1</v>
      </c>
      <c r="I367" s="2">
        <v>500</v>
      </c>
      <c r="J367" s="2">
        <v>500</v>
      </c>
    </row>
    <row r="368" spans="2:10" x14ac:dyDescent="0.25">
      <c r="B368" s="2">
        <v>365</v>
      </c>
      <c r="C368" s="6">
        <v>45088</v>
      </c>
      <c r="D368" s="2" t="s">
        <v>385</v>
      </c>
      <c r="E368" s="2" t="s">
        <v>17</v>
      </c>
      <c r="F368" s="2">
        <v>31</v>
      </c>
      <c r="G368" s="2" t="s">
        <v>21</v>
      </c>
      <c r="H368" s="2">
        <v>1</v>
      </c>
      <c r="I368" s="2">
        <v>300</v>
      </c>
      <c r="J368" s="2">
        <v>300</v>
      </c>
    </row>
    <row r="369" spans="2:10" x14ac:dyDescent="0.25">
      <c r="B369" s="2">
        <v>366</v>
      </c>
      <c r="C369" s="6">
        <v>44964</v>
      </c>
      <c r="D369" s="2" t="s">
        <v>386</v>
      </c>
      <c r="E369" s="2" t="s">
        <v>17</v>
      </c>
      <c r="F369" s="2">
        <v>57</v>
      </c>
      <c r="G369" s="2" t="s">
        <v>21</v>
      </c>
      <c r="H369" s="2">
        <v>2</v>
      </c>
      <c r="I369" s="2">
        <v>50</v>
      </c>
      <c r="J369" s="2">
        <v>100</v>
      </c>
    </row>
    <row r="370" spans="2:10" x14ac:dyDescent="0.25">
      <c r="B370" s="2">
        <v>367</v>
      </c>
      <c r="C370" s="6">
        <v>44931</v>
      </c>
      <c r="D370" s="2" t="s">
        <v>387</v>
      </c>
      <c r="E370" s="2" t="s">
        <v>20</v>
      </c>
      <c r="F370" s="2">
        <v>57</v>
      </c>
      <c r="G370" s="2" t="s">
        <v>23</v>
      </c>
      <c r="H370" s="2">
        <v>1</v>
      </c>
      <c r="I370" s="2">
        <v>50</v>
      </c>
      <c r="J370" s="2">
        <v>50</v>
      </c>
    </row>
    <row r="371" spans="2:10" x14ac:dyDescent="0.25">
      <c r="B371" s="2">
        <v>368</v>
      </c>
      <c r="C371" s="6">
        <v>45161</v>
      </c>
      <c r="D371" s="2" t="s">
        <v>388</v>
      </c>
      <c r="E371" s="2" t="s">
        <v>20</v>
      </c>
      <c r="F371" s="2">
        <v>56</v>
      </c>
      <c r="G371" s="2" t="s">
        <v>21</v>
      </c>
      <c r="H371" s="2">
        <v>4</v>
      </c>
      <c r="I371" s="2">
        <v>300</v>
      </c>
      <c r="J371" s="2">
        <v>1200</v>
      </c>
    </row>
    <row r="372" spans="2:10" x14ac:dyDescent="0.25">
      <c r="B372" s="2">
        <v>369</v>
      </c>
      <c r="C372" s="6">
        <v>45245</v>
      </c>
      <c r="D372" s="2" t="s">
        <v>389</v>
      </c>
      <c r="E372" s="2" t="s">
        <v>17</v>
      </c>
      <c r="F372" s="2">
        <v>23</v>
      </c>
      <c r="G372" s="2" t="s">
        <v>23</v>
      </c>
      <c r="H372" s="2">
        <v>3</v>
      </c>
      <c r="I372" s="2">
        <v>500</v>
      </c>
      <c r="J372" s="2">
        <v>1500</v>
      </c>
    </row>
    <row r="373" spans="2:10" x14ac:dyDescent="0.25">
      <c r="B373" s="2">
        <v>370</v>
      </c>
      <c r="C373" s="6">
        <v>45215</v>
      </c>
      <c r="D373" s="2" t="s">
        <v>390</v>
      </c>
      <c r="E373" s="2" t="s">
        <v>17</v>
      </c>
      <c r="F373" s="2">
        <v>23</v>
      </c>
      <c r="G373" s="2" t="s">
        <v>23</v>
      </c>
      <c r="H373" s="2">
        <v>2</v>
      </c>
      <c r="I373" s="2">
        <v>30</v>
      </c>
      <c r="J373" s="2">
        <v>60</v>
      </c>
    </row>
    <row r="374" spans="2:10" x14ac:dyDescent="0.25">
      <c r="B374" s="2">
        <v>371</v>
      </c>
      <c r="C374" s="6">
        <v>44978</v>
      </c>
      <c r="D374" s="2" t="s">
        <v>391</v>
      </c>
      <c r="E374" s="2" t="s">
        <v>20</v>
      </c>
      <c r="F374" s="2">
        <v>20</v>
      </c>
      <c r="G374" s="2" t="s">
        <v>18</v>
      </c>
      <c r="H374" s="2">
        <v>1</v>
      </c>
      <c r="I374" s="2">
        <v>25</v>
      </c>
      <c r="J374" s="2">
        <v>25</v>
      </c>
    </row>
    <row r="375" spans="2:10" x14ac:dyDescent="0.25">
      <c r="B375" s="2">
        <v>372</v>
      </c>
      <c r="C375" s="6">
        <v>44964</v>
      </c>
      <c r="D375" s="2" t="s">
        <v>392</v>
      </c>
      <c r="E375" s="2" t="s">
        <v>20</v>
      </c>
      <c r="F375" s="2">
        <v>24</v>
      </c>
      <c r="G375" s="2" t="s">
        <v>18</v>
      </c>
      <c r="H375" s="2">
        <v>3</v>
      </c>
      <c r="I375" s="2">
        <v>500</v>
      </c>
      <c r="J375" s="2">
        <v>1500</v>
      </c>
    </row>
    <row r="376" spans="2:10" x14ac:dyDescent="0.25">
      <c r="B376" s="2">
        <v>373</v>
      </c>
      <c r="C376" s="6">
        <v>45202</v>
      </c>
      <c r="D376" s="2" t="s">
        <v>393</v>
      </c>
      <c r="E376" s="2" t="s">
        <v>20</v>
      </c>
      <c r="F376" s="2">
        <v>25</v>
      </c>
      <c r="G376" s="2" t="s">
        <v>18</v>
      </c>
      <c r="H376" s="2">
        <v>2</v>
      </c>
      <c r="I376" s="2">
        <v>300</v>
      </c>
      <c r="J376" s="2">
        <v>600</v>
      </c>
    </row>
    <row r="377" spans="2:10" x14ac:dyDescent="0.25">
      <c r="B377" s="2">
        <v>374</v>
      </c>
      <c r="C377" s="6">
        <v>45036</v>
      </c>
      <c r="D377" s="2" t="s">
        <v>394</v>
      </c>
      <c r="E377" s="2" t="s">
        <v>20</v>
      </c>
      <c r="F377" s="2">
        <v>59</v>
      </c>
      <c r="G377" s="2" t="s">
        <v>18</v>
      </c>
      <c r="H377" s="2">
        <v>3</v>
      </c>
      <c r="I377" s="2">
        <v>25</v>
      </c>
      <c r="J377" s="2">
        <v>75</v>
      </c>
    </row>
    <row r="378" spans="2:10" x14ac:dyDescent="0.25">
      <c r="B378" s="2">
        <v>375</v>
      </c>
      <c r="C378" s="6">
        <v>45186</v>
      </c>
      <c r="D378" s="2" t="s">
        <v>395</v>
      </c>
      <c r="E378" s="2" t="s">
        <v>17</v>
      </c>
      <c r="F378" s="2">
        <v>32</v>
      </c>
      <c r="G378" s="2" t="s">
        <v>21</v>
      </c>
      <c r="H378" s="2">
        <v>1</v>
      </c>
      <c r="I378" s="2">
        <v>50</v>
      </c>
      <c r="J378" s="2">
        <v>50</v>
      </c>
    </row>
    <row r="379" spans="2:10" x14ac:dyDescent="0.25">
      <c r="B379" s="2">
        <v>376</v>
      </c>
      <c r="C379" s="6">
        <v>45062</v>
      </c>
      <c r="D379" s="2" t="s">
        <v>396</v>
      </c>
      <c r="E379" s="2" t="s">
        <v>20</v>
      </c>
      <c r="F379" s="2">
        <v>64</v>
      </c>
      <c r="G379" s="2" t="s">
        <v>18</v>
      </c>
      <c r="H379" s="2">
        <v>1</v>
      </c>
      <c r="I379" s="2">
        <v>30</v>
      </c>
      <c r="J379" s="2">
        <v>30</v>
      </c>
    </row>
    <row r="380" spans="2:10" x14ac:dyDescent="0.25">
      <c r="B380" s="2">
        <v>377</v>
      </c>
      <c r="C380" s="6">
        <v>44994</v>
      </c>
      <c r="D380" s="2" t="s">
        <v>397</v>
      </c>
      <c r="E380" s="2" t="s">
        <v>20</v>
      </c>
      <c r="F380" s="2">
        <v>46</v>
      </c>
      <c r="G380" s="2" t="s">
        <v>21</v>
      </c>
      <c r="H380" s="2">
        <v>4</v>
      </c>
      <c r="I380" s="2">
        <v>50</v>
      </c>
      <c r="J380" s="2">
        <v>200</v>
      </c>
    </row>
    <row r="381" spans="2:10" x14ac:dyDescent="0.25">
      <c r="B381" s="2">
        <v>378</v>
      </c>
      <c r="C381" s="6">
        <v>45105</v>
      </c>
      <c r="D381" s="2" t="s">
        <v>398</v>
      </c>
      <c r="E381" s="2" t="s">
        <v>17</v>
      </c>
      <c r="F381" s="2">
        <v>50</v>
      </c>
      <c r="G381" s="2" t="s">
        <v>18</v>
      </c>
      <c r="H381" s="2">
        <v>1</v>
      </c>
      <c r="I381" s="2">
        <v>300</v>
      </c>
      <c r="J381" s="2">
        <v>300</v>
      </c>
    </row>
    <row r="382" spans="2:10" x14ac:dyDescent="0.25">
      <c r="B382" s="2">
        <v>379</v>
      </c>
      <c r="C382" s="6">
        <v>44962</v>
      </c>
      <c r="D382" s="2" t="s">
        <v>399</v>
      </c>
      <c r="E382" s="2" t="s">
        <v>20</v>
      </c>
      <c r="F382" s="2">
        <v>47</v>
      </c>
      <c r="G382" s="2" t="s">
        <v>21</v>
      </c>
      <c r="H382" s="2">
        <v>1</v>
      </c>
      <c r="I382" s="2">
        <v>25</v>
      </c>
      <c r="J382" s="2">
        <v>25</v>
      </c>
    </row>
    <row r="383" spans="2:10" x14ac:dyDescent="0.25">
      <c r="B383" s="2">
        <v>380</v>
      </c>
      <c r="C383" s="6">
        <v>45052</v>
      </c>
      <c r="D383" s="2" t="s">
        <v>400</v>
      </c>
      <c r="E383" s="2" t="s">
        <v>17</v>
      </c>
      <c r="F383" s="2">
        <v>56</v>
      </c>
      <c r="G383" s="2" t="s">
        <v>23</v>
      </c>
      <c r="H383" s="2">
        <v>2</v>
      </c>
      <c r="I383" s="2">
        <v>300</v>
      </c>
      <c r="J383" s="2">
        <v>600</v>
      </c>
    </row>
    <row r="384" spans="2:10" x14ac:dyDescent="0.25">
      <c r="B384" s="2">
        <v>381</v>
      </c>
      <c r="C384" s="6">
        <v>45116</v>
      </c>
      <c r="D384" s="2" t="s">
        <v>401</v>
      </c>
      <c r="E384" s="2" t="s">
        <v>20</v>
      </c>
      <c r="F384" s="2">
        <v>44</v>
      </c>
      <c r="G384" s="2" t="s">
        <v>21</v>
      </c>
      <c r="H384" s="2">
        <v>4</v>
      </c>
      <c r="I384" s="2">
        <v>25</v>
      </c>
      <c r="J384" s="2">
        <v>100</v>
      </c>
    </row>
    <row r="385" spans="2:10" x14ac:dyDescent="0.25">
      <c r="B385" s="2">
        <v>382</v>
      </c>
      <c r="C385" s="6">
        <v>45072</v>
      </c>
      <c r="D385" s="2" t="s">
        <v>402</v>
      </c>
      <c r="E385" s="2" t="s">
        <v>20</v>
      </c>
      <c r="F385" s="2">
        <v>53</v>
      </c>
      <c r="G385" s="2" t="s">
        <v>21</v>
      </c>
      <c r="H385" s="2">
        <v>2</v>
      </c>
      <c r="I385" s="2">
        <v>500</v>
      </c>
      <c r="J385" s="2">
        <v>1000</v>
      </c>
    </row>
    <row r="386" spans="2:10" x14ac:dyDescent="0.25">
      <c r="B386" s="2">
        <v>383</v>
      </c>
      <c r="C386" s="6">
        <v>45007</v>
      </c>
      <c r="D386" s="2" t="s">
        <v>403</v>
      </c>
      <c r="E386" s="2" t="s">
        <v>20</v>
      </c>
      <c r="F386" s="2">
        <v>46</v>
      </c>
      <c r="G386" s="2" t="s">
        <v>18</v>
      </c>
      <c r="H386" s="2">
        <v>3</v>
      </c>
      <c r="I386" s="2">
        <v>30</v>
      </c>
      <c r="J386" s="2">
        <v>90</v>
      </c>
    </row>
    <row r="387" spans="2:10" x14ac:dyDescent="0.25">
      <c r="B387" s="2">
        <v>384</v>
      </c>
      <c r="C387" s="6">
        <v>45151</v>
      </c>
      <c r="D387" s="2" t="s">
        <v>404</v>
      </c>
      <c r="E387" s="2" t="s">
        <v>17</v>
      </c>
      <c r="F387" s="2">
        <v>55</v>
      </c>
      <c r="G387" s="2" t="s">
        <v>21</v>
      </c>
      <c r="H387" s="2">
        <v>1</v>
      </c>
      <c r="I387" s="2">
        <v>500</v>
      </c>
      <c r="J387" s="2">
        <v>500</v>
      </c>
    </row>
    <row r="388" spans="2:10" x14ac:dyDescent="0.25">
      <c r="B388" s="2">
        <v>385</v>
      </c>
      <c r="C388" s="6">
        <v>45205</v>
      </c>
      <c r="D388" s="2" t="s">
        <v>405</v>
      </c>
      <c r="E388" s="2" t="s">
        <v>17</v>
      </c>
      <c r="F388" s="2">
        <v>50</v>
      </c>
      <c r="G388" s="2" t="s">
        <v>23</v>
      </c>
      <c r="H388" s="2">
        <v>3</v>
      </c>
      <c r="I388" s="2">
        <v>500</v>
      </c>
      <c r="J388" s="2">
        <v>1500</v>
      </c>
    </row>
    <row r="389" spans="2:10" x14ac:dyDescent="0.25">
      <c r="B389" s="2">
        <v>386</v>
      </c>
      <c r="C389" s="6">
        <v>45287</v>
      </c>
      <c r="D389" s="2" t="s">
        <v>406</v>
      </c>
      <c r="E389" s="2" t="s">
        <v>20</v>
      </c>
      <c r="F389" s="2">
        <v>54</v>
      </c>
      <c r="G389" s="2" t="s">
        <v>23</v>
      </c>
      <c r="H389" s="2">
        <v>2</v>
      </c>
      <c r="I389" s="2">
        <v>300</v>
      </c>
      <c r="J389" s="2">
        <v>600</v>
      </c>
    </row>
    <row r="390" spans="2:10" x14ac:dyDescent="0.25">
      <c r="B390" s="2">
        <v>387</v>
      </c>
      <c r="C390" s="6">
        <v>45081</v>
      </c>
      <c r="D390" s="2" t="s">
        <v>407</v>
      </c>
      <c r="E390" s="2" t="s">
        <v>17</v>
      </c>
      <c r="F390" s="2">
        <v>44</v>
      </c>
      <c r="G390" s="2" t="s">
        <v>18</v>
      </c>
      <c r="H390" s="2">
        <v>1</v>
      </c>
      <c r="I390" s="2">
        <v>30</v>
      </c>
      <c r="J390" s="2">
        <v>30</v>
      </c>
    </row>
    <row r="391" spans="2:10" x14ac:dyDescent="0.25">
      <c r="B391" s="2">
        <v>388</v>
      </c>
      <c r="C391" s="6">
        <v>45240</v>
      </c>
      <c r="D391" s="2" t="s">
        <v>408</v>
      </c>
      <c r="E391" s="2" t="s">
        <v>17</v>
      </c>
      <c r="F391" s="2">
        <v>50</v>
      </c>
      <c r="G391" s="2" t="s">
        <v>23</v>
      </c>
      <c r="H391" s="2">
        <v>1</v>
      </c>
      <c r="I391" s="2">
        <v>25</v>
      </c>
      <c r="J391" s="2">
        <v>25</v>
      </c>
    </row>
    <row r="392" spans="2:10" x14ac:dyDescent="0.25">
      <c r="B392" s="2">
        <v>389</v>
      </c>
      <c r="C392" s="6">
        <v>45261</v>
      </c>
      <c r="D392" s="2" t="s">
        <v>409</v>
      </c>
      <c r="E392" s="2" t="s">
        <v>17</v>
      </c>
      <c r="F392" s="2">
        <v>21</v>
      </c>
      <c r="G392" s="2" t="s">
        <v>21</v>
      </c>
      <c r="H392" s="2">
        <v>2</v>
      </c>
      <c r="I392" s="2">
        <v>25</v>
      </c>
      <c r="J392" s="2">
        <v>50</v>
      </c>
    </row>
    <row r="393" spans="2:10" x14ac:dyDescent="0.25">
      <c r="B393" s="2">
        <v>390</v>
      </c>
      <c r="C393" s="6">
        <v>45197</v>
      </c>
      <c r="D393" s="2" t="s">
        <v>410</v>
      </c>
      <c r="E393" s="2" t="s">
        <v>17</v>
      </c>
      <c r="F393" s="2">
        <v>39</v>
      </c>
      <c r="G393" s="2" t="s">
        <v>23</v>
      </c>
      <c r="H393" s="2">
        <v>2</v>
      </c>
      <c r="I393" s="2">
        <v>50</v>
      </c>
      <c r="J393" s="2">
        <v>100</v>
      </c>
    </row>
    <row r="394" spans="2:10" x14ac:dyDescent="0.25">
      <c r="B394" s="2">
        <v>391</v>
      </c>
      <c r="C394" s="6">
        <v>44931</v>
      </c>
      <c r="D394" s="2" t="s">
        <v>411</v>
      </c>
      <c r="E394" s="2" t="s">
        <v>17</v>
      </c>
      <c r="F394" s="2">
        <v>19</v>
      </c>
      <c r="G394" s="2" t="s">
        <v>18</v>
      </c>
      <c r="H394" s="2">
        <v>2</v>
      </c>
      <c r="I394" s="2">
        <v>25</v>
      </c>
      <c r="J394" s="2">
        <v>50</v>
      </c>
    </row>
    <row r="395" spans="2:10" x14ac:dyDescent="0.25">
      <c r="B395" s="2">
        <v>392</v>
      </c>
      <c r="C395" s="6">
        <v>45268</v>
      </c>
      <c r="D395" s="2" t="s">
        <v>412</v>
      </c>
      <c r="E395" s="2" t="s">
        <v>17</v>
      </c>
      <c r="F395" s="2">
        <v>27</v>
      </c>
      <c r="G395" s="2" t="s">
        <v>21</v>
      </c>
      <c r="H395" s="2">
        <v>2</v>
      </c>
      <c r="I395" s="2">
        <v>300</v>
      </c>
      <c r="J395" s="2">
        <v>600</v>
      </c>
    </row>
    <row r="396" spans="2:10" x14ac:dyDescent="0.25">
      <c r="B396" s="2">
        <v>393</v>
      </c>
      <c r="C396" s="6">
        <v>45210</v>
      </c>
      <c r="D396" s="2" t="s">
        <v>413</v>
      </c>
      <c r="E396" s="2" t="s">
        <v>20</v>
      </c>
      <c r="F396" s="2">
        <v>22</v>
      </c>
      <c r="G396" s="2" t="s">
        <v>18</v>
      </c>
      <c r="H396" s="2">
        <v>2</v>
      </c>
      <c r="I396" s="2">
        <v>500</v>
      </c>
      <c r="J396" s="2">
        <v>1000</v>
      </c>
    </row>
    <row r="397" spans="2:10" x14ac:dyDescent="0.25">
      <c r="B397" s="2">
        <v>394</v>
      </c>
      <c r="C397" s="6">
        <v>45080</v>
      </c>
      <c r="D397" s="2" t="s">
        <v>414</v>
      </c>
      <c r="E397" s="2" t="s">
        <v>20</v>
      </c>
      <c r="F397" s="2">
        <v>27</v>
      </c>
      <c r="G397" s="2" t="s">
        <v>21</v>
      </c>
      <c r="H397" s="2">
        <v>1</v>
      </c>
      <c r="I397" s="2">
        <v>500</v>
      </c>
      <c r="J397" s="2">
        <v>500</v>
      </c>
    </row>
    <row r="398" spans="2:10" x14ac:dyDescent="0.25">
      <c r="B398" s="2">
        <v>395</v>
      </c>
      <c r="C398" s="6">
        <v>45266</v>
      </c>
      <c r="D398" s="2" t="s">
        <v>415</v>
      </c>
      <c r="E398" s="2" t="s">
        <v>17</v>
      </c>
      <c r="F398" s="2">
        <v>50</v>
      </c>
      <c r="G398" s="2" t="s">
        <v>23</v>
      </c>
      <c r="H398" s="2">
        <v>2</v>
      </c>
      <c r="I398" s="2">
        <v>500</v>
      </c>
      <c r="J398" s="2">
        <v>1000</v>
      </c>
    </row>
    <row r="399" spans="2:10" x14ac:dyDescent="0.25">
      <c r="B399" s="2">
        <v>396</v>
      </c>
      <c r="C399" s="6">
        <v>44980</v>
      </c>
      <c r="D399" s="2" t="s">
        <v>416</v>
      </c>
      <c r="E399" s="2" t="s">
        <v>20</v>
      </c>
      <c r="F399" s="2">
        <v>55</v>
      </c>
      <c r="G399" s="2" t="s">
        <v>18</v>
      </c>
      <c r="H399" s="2">
        <v>1</v>
      </c>
      <c r="I399" s="2">
        <v>30</v>
      </c>
      <c r="J399" s="2">
        <v>30</v>
      </c>
    </row>
    <row r="400" spans="2:10" x14ac:dyDescent="0.25">
      <c r="B400" s="2">
        <v>397</v>
      </c>
      <c r="C400" s="6">
        <v>44995</v>
      </c>
      <c r="D400" s="2" t="s">
        <v>417</v>
      </c>
      <c r="E400" s="2" t="s">
        <v>20</v>
      </c>
      <c r="F400" s="2">
        <v>30</v>
      </c>
      <c r="G400" s="2" t="s">
        <v>18</v>
      </c>
      <c r="H400" s="2">
        <v>1</v>
      </c>
      <c r="I400" s="2">
        <v>25</v>
      </c>
      <c r="J400" s="2">
        <v>25</v>
      </c>
    </row>
    <row r="401" spans="2:10" x14ac:dyDescent="0.25">
      <c r="B401" s="2">
        <v>398</v>
      </c>
      <c r="C401" s="6">
        <v>45062</v>
      </c>
      <c r="D401" s="2" t="s">
        <v>418</v>
      </c>
      <c r="E401" s="2" t="s">
        <v>20</v>
      </c>
      <c r="F401" s="2">
        <v>48</v>
      </c>
      <c r="G401" s="2" t="s">
        <v>21</v>
      </c>
      <c r="H401" s="2">
        <v>2</v>
      </c>
      <c r="I401" s="2">
        <v>300</v>
      </c>
      <c r="J401" s="2">
        <v>600</v>
      </c>
    </row>
    <row r="402" spans="2:10" x14ac:dyDescent="0.25">
      <c r="B402" s="2">
        <v>399</v>
      </c>
      <c r="C402" s="6">
        <v>44986</v>
      </c>
      <c r="D402" s="2" t="s">
        <v>419</v>
      </c>
      <c r="E402" s="2" t="s">
        <v>20</v>
      </c>
      <c r="F402" s="2">
        <v>64</v>
      </c>
      <c r="G402" s="2" t="s">
        <v>18</v>
      </c>
      <c r="H402" s="2">
        <v>2</v>
      </c>
      <c r="I402" s="2">
        <v>30</v>
      </c>
      <c r="J402" s="2">
        <v>60</v>
      </c>
    </row>
    <row r="403" spans="2:10" x14ac:dyDescent="0.25">
      <c r="B403" s="2">
        <v>400</v>
      </c>
      <c r="C403" s="6">
        <v>44981</v>
      </c>
      <c r="D403" s="2" t="s">
        <v>420</v>
      </c>
      <c r="E403" s="2" t="s">
        <v>17</v>
      </c>
      <c r="F403" s="2">
        <v>53</v>
      </c>
      <c r="G403" s="2" t="s">
        <v>21</v>
      </c>
      <c r="H403" s="2">
        <v>4</v>
      </c>
      <c r="I403" s="2">
        <v>50</v>
      </c>
      <c r="J403" s="2">
        <v>200</v>
      </c>
    </row>
    <row r="404" spans="2:10" x14ac:dyDescent="0.25">
      <c r="B404" s="2">
        <v>401</v>
      </c>
      <c r="C404" s="6">
        <v>45210</v>
      </c>
      <c r="D404" s="2" t="s">
        <v>421</v>
      </c>
      <c r="E404" s="2" t="s">
        <v>20</v>
      </c>
      <c r="F404" s="2">
        <v>62</v>
      </c>
      <c r="G404" s="2" t="s">
        <v>21</v>
      </c>
      <c r="H404" s="2">
        <v>1</v>
      </c>
      <c r="I404" s="2">
        <v>300</v>
      </c>
      <c r="J404" s="2">
        <v>300</v>
      </c>
    </row>
    <row r="405" spans="2:10" x14ac:dyDescent="0.25">
      <c r="B405" s="2">
        <v>402</v>
      </c>
      <c r="C405" s="6">
        <v>45006</v>
      </c>
      <c r="D405" s="2" t="s">
        <v>422</v>
      </c>
      <c r="E405" s="2" t="s">
        <v>20</v>
      </c>
      <c r="F405" s="2">
        <v>41</v>
      </c>
      <c r="G405" s="2" t="s">
        <v>21</v>
      </c>
      <c r="H405" s="2">
        <v>2</v>
      </c>
      <c r="I405" s="2">
        <v>300</v>
      </c>
      <c r="J405" s="2">
        <v>600</v>
      </c>
    </row>
    <row r="406" spans="2:10" x14ac:dyDescent="0.25">
      <c r="B406" s="2">
        <v>403</v>
      </c>
      <c r="C406" s="6">
        <v>45066</v>
      </c>
      <c r="D406" s="2" t="s">
        <v>423</v>
      </c>
      <c r="E406" s="2" t="s">
        <v>17</v>
      </c>
      <c r="F406" s="2">
        <v>32</v>
      </c>
      <c r="G406" s="2" t="s">
        <v>21</v>
      </c>
      <c r="H406" s="2">
        <v>2</v>
      </c>
      <c r="I406" s="2">
        <v>300</v>
      </c>
      <c r="J406" s="2">
        <v>600</v>
      </c>
    </row>
    <row r="407" spans="2:10" x14ac:dyDescent="0.25">
      <c r="B407" s="2">
        <v>404</v>
      </c>
      <c r="C407" s="6">
        <v>45071</v>
      </c>
      <c r="D407" s="2" t="s">
        <v>424</v>
      </c>
      <c r="E407" s="2" t="s">
        <v>17</v>
      </c>
      <c r="F407" s="2">
        <v>46</v>
      </c>
      <c r="G407" s="2" t="s">
        <v>23</v>
      </c>
      <c r="H407" s="2">
        <v>2</v>
      </c>
      <c r="I407" s="2">
        <v>500</v>
      </c>
      <c r="J407" s="2">
        <v>1000</v>
      </c>
    </row>
    <row r="408" spans="2:10" x14ac:dyDescent="0.25">
      <c r="B408" s="2">
        <v>405</v>
      </c>
      <c r="C408" s="6">
        <v>45236</v>
      </c>
      <c r="D408" s="2" t="s">
        <v>425</v>
      </c>
      <c r="E408" s="2" t="s">
        <v>20</v>
      </c>
      <c r="F408" s="2">
        <v>25</v>
      </c>
      <c r="G408" s="2" t="s">
        <v>21</v>
      </c>
      <c r="H408" s="2">
        <v>4</v>
      </c>
      <c r="I408" s="2">
        <v>300</v>
      </c>
      <c r="J408" s="2">
        <v>1200</v>
      </c>
    </row>
    <row r="409" spans="2:10" x14ac:dyDescent="0.25">
      <c r="B409" s="2">
        <v>406</v>
      </c>
      <c r="C409" s="6">
        <v>45034</v>
      </c>
      <c r="D409" s="2" t="s">
        <v>426</v>
      </c>
      <c r="E409" s="2" t="s">
        <v>20</v>
      </c>
      <c r="F409" s="2">
        <v>22</v>
      </c>
      <c r="G409" s="2" t="s">
        <v>18</v>
      </c>
      <c r="H409" s="2">
        <v>4</v>
      </c>
      <c r="I409" s="2">
        <v>25</v>
      </c>
      <c r="J409" s="2">
        <v>100</v>
      </c>
    </row>
    <row r="410" spans="2:10" x14ac:dyDescent="0.25">
      <c r="B410" s="2">
        <v>407</v>
      </c>
      <c r="C410" s="6">
        <v>45102</v>
      </c>
      <c r="D410" s="2" t="s">
        <v>427</v>
      </c>
      <c r="E410" s="2" t="s">
        <v>20</v>
      </c>
      <c r="F410" s="2">
        <v>46</v>
      </c>
      <c r="G410" s="2" t="s">
        <v>23</v>
      </c>
      <c r="H410" s="2">
        <v>3</v>
      </c>
      <c r="I410" s="2">
        <v>300</v>
      </c>
      <c r="J410" s="2">
        <v>900</v>
      </c>
    </row>
    <row r="411" spans="2:10" x14ac:dyDescent="0.25">
      <c r="B411" s="2">
        <v>408</v>
      </c>
      <c r="C411" s="6">
        <v>45031</v>
      </c>
      <c r="D411" s="2" t="s">
        <v>428</v>
      </c>
      <c r="E411" s="2" t="s">
        <v>20</v>
      </c>
      <c r="F411" s="2">
        <v>64</v>
      </c>
      <c r="G411" s="2" t="s">
        <v>18</v>
      </c>
      <c r="H411" s="2">
        <v>1</v>
      </c>
      <c r="I411" s="2">
        <v>500</v>
      </c>
      <c r="J411" s="2">
        <v>500</v>
      </c>
    </row>
    <row r="412" spans="2:10" x14ac:dyDescent="0.25">
      <c r="B412" s="2">
        <v>409</v>
      </c>
      <c r="C412" s="6">
        <v>45278</v>
      </c>
      <c r="D412" s="2" t="s">
        <v>429</v>
      </c>
      <c r="E412" s="2" t="s">
        <v>20</v>
      </c>
      <c r="F412" s="2">
        <v>21</v>
      </c>
      <c r="G412" s="2" t="s">
        <v>23</v>
      </c>
      <c r="H412" s="2">
        <v>3</v>
      </c>
      <c r="I412" s="2">
        <v>300</v>
      </c>
      <c r="J412" s="2">
        <v>900</v>
      </c>
    </row>
    <row r="413" spans="2:10" x14ac:dyDescent="0.25">
      <c r="B413" s="2">
        <v>410</v>
      </c>
      <c r="C413" s="6">
        <v>45251</v>
      </c>
      <c r="D413" s="2" t="s">
        <v>430</v>
      </c>
      <c r="E413" s="2" t="s">
        <v>20</v>
      </c>
      <c r="F413" s="2">
        <v>29</v>
      </c>
      <c r="G413" s="2" t="s">
        <v>21</v>
      </c>
      <c r="H413" s="2">
        <v>2</v>
      </c>
      <c r="I413" s="2">
        <v>50</v>
      </c>
      <c r="J413" s="2">
        <v>100</v>
      </c>
    </row>
    <row r="414" spans="2:10" x14ac:dyDescent="0.25">
      <c r="B414" s="2">
        <v>411</v>
      </c>
      <c r="C414" s="6">
        <v>45062</v>
      </c>
      <c r="D414" s="2" t="s">
        <v>431</v>
      </c>
      <c r="E414" s="2" t="s">
        <v>17</v>
      </c>
      <c r="F414" s="2">
        <v>62</v>
      </c>
      <c r="G414" s="2" t="s">
        <v>23</v>
      </c>
      <c r="H414" s="2">
        <v>4</v>
      </c>
      <c r="I414" s="2">
        <v>50</v>
      </c>
      <c r="J414" s="2">
        <v>200</v>
      </c>
    </row>
    <row r="415" spans="2:10" x14ac:dyDescent="0.25">
      <c r="B415" s="2">
        <v>412</v>
      </c>
      <c r="C415" s="6">
        <v>45185</v>
      </c>
      <c r="D415" s="2" t="s">
        <v>432</v>
      </c>
      <c r="E415" s="2" t="s">
        <v>20</v>
      </c>
      <c r="F415" s="2">
        <v>19</v>
      </c>
      <c r="G415" s="2" t="s">
        <v>23</v>
      </c>
      <c r="H415" s="2">
        <v>4</v>
      </c>
      <c r="I415" s="2">
        <v>500</v>
      </c>
      <c r="J415" s="2">
        <v>2000</v>
      </c>
    </row>
    <row r="416" spans="2:10" x14ac:dyDescent="0.25">
      <c r="B416" s="2">
        <v>413</v>
      </c>
      <c r="C416" s="6">
        <v>45177</v>
      </c>
      <c r="D416" s="2" t="s">
        <v>433</v>
      </c>
      <c r="E416" s="2" t="s">
        <v>20</v>
      </c>
      <c r="F416" s="2">
        <v>44</v>
      </c>
      <c r="G416" s="2" t="s">
        <v>18</v>
      </c>
      <c r="H416" s="2">
        <v>3</v>
      </c>
      <c r="I416" s="2">
        <v>25</v>
      </c>
      <c r="J416" s="2">
        <v>75</v>
      </c>
    </row>
    <row r="417" spans="2:10" x14ac:dyDescent="0.25">
      <c r="B417" s="2">
        <v>414</v>
      </c>
      <c r="C417" s="6">
        <v>45055</v>
      </c>
      <c r="D417" s="2" t="s">
        <v>434</v>
      </c>
      <c r="E417" s="2" t="s">
        <v>17</v>
      </c>
      <c r="F417" s="2">
        <v>48</v>
      </c>
      <c r="G417" s="2" t="s">
        <v>18</v>
      </c>
      <c r="H417" s="2">
        <v>4</v>
      </c>
      <c r="I417" s="2">
        <v>25</v>
      </c>
      <c r="J417" s="2">
        <v>100</v>
      </c>
    </row>
    <row r="418" spans="2:10" x14ac:dyDescent="0.25">
      <c r="B418" s="2">
        <v>415</v>
      </c>
      <c r="C418" s="6">
        <v>44953</v>
      </c>
      <c r="D418" s="2" t="s">
        <v>435</v>
      </c>
      <c r="E418" s="2" t="s">
        <v>17</v>
      </c>
      <c r="F418" s="2">
        <v>53</v>
      </c>
      <c r="G418" s="2" t="s">
        <v>21</v>
      </c>
      <c r="H418" s="2">
        <v>2</v>
      </c>
      <c r="I418" s="2">
        <v>30</v>
      </c>
      <c r="J418" s="2">
        <v>60</v>
      </c>
    </row>
    <row r="419" spans="2:10" x14ac:dyDescent="0.25">
      <c r="B419" s="2">
        <v>416</v>
      </c>
      <c r="C419" s="6">
        <v>44974</v>
      </c>
      <c r="D419" s="2" t="s">
        <v>436</v>
      </c>
      <c r="E419" s="2" t="s">
        <v>17</v>
      </c>
      <c r="F419" s="2">
        <v>53</v>
      </c>
      <c r="G419" s="2" t="s">
        <v>23</v>
      </c>
      <c r="H419" s="2">
        <v>4</v>
      </c>
      <c r="I419" s="2">
        <v>500</v>
      </c>
      <c r="J419" s="2">
        <v>2000</v>
      </c>
    </row>
    <row r="420" spans="2:10" x14ac:dyDescent="0.25">
      <c r="B420" s="2">
        <v>417</v>
      </c>
      <c r="C420" s="6">
        <v>45251</v>
      </c>
      <c r="D420" s="2" t="s">
        <v>437</v>
      </c>
      <c r="E420" s="2" t="s">
        <v>17</v>
      </c>
      <c r="F420" s="2">
        <v>43</v>
      </c>
      <c r="G420" s="2" t="s">
        <v>23</v>
      </c>
      <c r="H420" s="2">
        <v>3</v>
      </c>
      <c r="I420" s="2">
        <v>300</v>
      </c>
      <c r="J420" s="2">
        <v>900</v>
      </c>
    </row>
    <row r="421" spans="2:10" x14ac:dyDescent="0.25">
      <c r="B421" s="2">
        <v>418</v>
      </c>
      <c r="C421" s="6">
        <v>45143</v>
      </c>
      <c r="D421" s="2" t="s">
        <v>438</v>
      </c>
      <c r="E421" s="2" t="s">
        <v>20</v>
      </c>
      <c r="F421" s="2">
        <v>60</v>
      </c>
      <c r="G421" s="2" t="s">
        <v>23</v>
      </c>
      <c r="H421" s="2">
        <v>2</v>
      </c>
      <c r="I421" s="2">
        <v>500</v>
      </c>
      <c r="J421" s="2">
        <v>1000</v>
      </c>
    </row>
    <row r="422" spans="2:10" x14ac:dyDescent="0.25">
      <c r="B422" s="2">
        <v>419</v>
      </c>
      <c r="C422" s="6">
        <v>45068</v>
      </c>
      <c r="D422" s="2" t="s">
        <v>439</v>
      </c>
      <c r="E422" s="2" t="s">
        <v>20</v>
      </c>
      <c r="F422" s="2">
        <v>44</v>
      </c>
      <c r="G422" s="2" t="s">
        <v>21</v>
      </c>
      <c r="H422" s="2">
        <v>3</v>
      </c>
      <c r="I422" s="2">
        <v>30</v>
      </c>
      <c r="J422" s="2">
        <v>90</v>
      </c>
    </row>
    <row r="423" spans="2:10" x14ac:dyDescent="0.25">
      <c r="B423" s="2">
        <v>420</v>
      </c>
      <c r="C423" s="6">
        <v>44949</v>
      </c>
      <c r="D423" s="2" t="s">
        <v>440</v>
      </c>
      <c r="E423" s="2" t="s">
        <v>20</v>
      </c>
      <c r="F423" s="2">
        <v>22</v>
      </c>
      <c r="G423" s="2" t="s">
        <v>21</v>
      </c>
      <c r="H423" s="2">
        <v>4</v>
      </c>
      <c r="I423" s="2">
        <v>500</v>
      </c>
      <c r="J423" s="2">
        <v>2000</v>
      </c>
    </row>
    <row r="424" spans="2:10" x14ac:dyDescent="0.25">
      <c r="B424" s="2">
        <v>421</v>
      </c>
      <c r="C424" s="6">
        <v>44928</v>
      </c>
      <c r="D424" s="2" t="s">
        <v>441</v>
      </c>
      <c r="E424" s="2" t="s">
        <v>20</v>
      </c>
      <c r="F424" s="2">
        <v>37</v>
      </c>
      <c r="G424" s="2" t="s">
        <v>21</v>
      </c>
      <c r="H424" s="2">
        <v>3</v>
      </c>
      <c r="I424" s="2">
        <v>500</v>
      </c>
      <c r="J424" s="2">
        <v>1500</v>
      </c>
    </row>
    <row r="425" spans="2:10" x14ac:dyDescent="0.25">
      <c r="B425" s="2">
        <v>422</v>
      </c>
      <c r="C425" s="6">
        <v>45097</v>
      </c>
      <c r="D425" s="2" t="s">
        <v>442</v>
      </c>
      <c r="E425" s="2" t="s">
        <v>20</v>
      </c>
      <c r="F425" s="2">
        <v>28</v>
      </c>
      <c r="G425" s="2" t="s">
        <v>21</v>
      </c>
      <c r="H425" s="2">
        <v>3</v>
      </c>
      <c r="I425" s="2">
        <v>30</v>
      </c>
      <c r="J425" s="2">
        <v>90</v>
      </c>
    </row>
    <row r="426" spans="2:10" x14ac:dyDescent="0.25">
      <c r="B426" s="2">
        <v>423</v>
      </c>
      <c r="C426" s="6">
        <v>44993</v>
      </c>
      <c r="D426" s="2" t="s">
        <v>443</v>
      </c>
      <c r="E426" s="2" t="s">
        <v>20</v>
      </c>
      <c r="F426" s="2">
        <v>27</v>
      </c>
      <c r="G426" s="2" t="s">
        <v>21</v>
      </c>
      <c r="H426" s="2">
        <v>1</v>
      </c>
      <c r="I426" s="2">
        <v>25</v>
      </c>
      <c r="J426" s="2">
        <v>25</v>
      </c>
    </row>
    <row r="427" spans="2:10" x14ac:dyDescent="0.25">
      <c r="B427" s="2">
        <v>424</v>
      </c>
      <c r="C427" s="6">
        <v>45253</v>
      </c>
      <c r="D427" s="2" t="s">
        <v>444</v>
      </c>
      <c r="E427" s="2" t="s">
        <v>17</v>
      </c>
      <c r="F427" s="2">
        <v>57</v>
      </c>
      <c r="G427" s="2" t="s">
        <v>18</v>
      </c>
      <c r="H427" s="2">
        <v>4</v>
      </c>
      <c r="I427" s="2">
        <v>300</v>
      </c>
      <c r="J427" s="2">
        <v>1200</v>
      </c>
    </row>
    <row r="428" spans="2:10" x14ac:dyDescent="0.25">
      <c r="B428" s="2">
        <v>425</v>
      </c>
      <c r="C428" s="6">
        <v>45061</v>
      </c>
      <c r="D428" s="2" t="s">
        <v>445</v>
      </c>
      <c r="E428" s="2" t="s">
        <v>20</v>
      </c>
      <c r="F428" s="2">
        <v>55</v>
      </c>
      <c r="G428" s="2" t="s">
        <v>23</v>
      </c>
      <c r="H428" s="2">
        <v>4</v>
      </c>
      <c r="I428" s="2">
        <v>30</v>
      </c>
      <c r="J428" s="2">
        <v>120</v>
      </c>
    </row>
    <row r="429" spans="2:10" x14ac:dyDescent="0.25">
      <c r="B429" s="2">
        <v>426</v>
      </c>
      <c r="C429" s="6">
        <v>45009</v>
      </c>
      <c r="D429" s="2" t="s">
        <v>446</v>
      </c>
      <c r="E429" s="2" t="s">
        <v>17</v>
      </c>
      <c r="F429" s="2">
        <v>23</v>
      </c>
      <c r="G429" s="2" t="s">
        <v>23</v>
      </c>
      <c r="H429" s="2">
        <v>3</v>
      </c>
      <c r="I429" s="2">
        <v>50</v>
      </c>
      <c r="J429" s="2">
        <v>150</v>
      </c>
    </row>
    <row r="430" spans="2:10" x14ac:dyDescent="0.25">
      <c r="B430" s="2">
        <v>427</v>
      </c>
      <c r="C430" s="6">
        <v>45153</v>
      </c>
      <c r="D430" s="2" t="s">
        <v>447</v>
      </c>
      <c r="E430" s="2" t="s">
        <v>17</v>
      </c>
      <c r="F430" s="2">
        <v>25</v>
      </c>
      <c r="G430" s="2" t="s">
        <v>23</v>
      </c>
      <c r="H430" s="2">
        <v>1</v>
      </c>
      <c r="I430" s="2">
        <v>25</v>
      </c>
      <c r="J430" s="2">
        <v>25</v>
      </c>
    </row>
    <row r="431" spans="2:10" x14ac:dyDescent="0.25">
      <c r="B431" s="2">
        <v>428</v>
      </c>
      <c r="C431" s="6">
        <v>45209</v>
      </c>
      <c r="D431" s="2" t="s">
        <v>448</v>
      </c>
      <c r="E431" s="2" t="s">
        <v>20</v>
      </c>
      <c r="F431" s="2">
        <v>40</v>
      </c>
      <c r="G431" s="2" t="s">
        <v>23</v>
      </c>
      <c r="H431" s="2">
        <v>4</v>
      </c>
      <c r="I431" s="2">
        <v>50</v>
      </c>
      <c r="J431" s="2">
        <v>200</v>
      </c>
    </row>
    <row r="432" spans="2:10" x14ac:dyDescent="0.25">
      <c r="B432" s="2">
        <v>429</v>
      </c>
      <c r="C432" s="6">
        <v>45288</v>
      </c>
      <c r="D432" s="2" t="s">
        <v>449</v>
      </c>
      <c r="E432" s="2" t="s">
        <v>17</v>
      </c>
      <c r="F432" s="2">
        <v>64</v>
      </c>
      <c r="G432" s="2" t="s">
        <v>23</v>
      </c>
      <c r="H432" s="2">
        <v>2</v>
      </c>
      <c r="I432" s="2">
        <v>25</v>
      </c>
      <c r="J432" s="2">
        <v>50</v>
      </c>
    </row>
    <row r="433" spans="2:10" x14ac:dyDescent="0.25">
      <c r="B433" s="2">
        <v>430</v>
      </c>
      <c r="C433" s="6">
        <v>45145</v>
      </c>
      <c r="D433" s="2" t="s">
        <v>450</v>
      </c>
      <c r="E433" s="2" t="s">
        <v>20</v>
      </c>
      <c r="F433" s="2">
        <v>43</v>
      </c>
      <c r="G433" s="2" t="s">
        <v>23</v>
      </c>
      <c r="H433" s="2">
        <v>3</v>
      </c>
      <c r="I433" s="2">
        <v>300</v>
      </c>
      <c r="J433" s="2">
        <v>900</v>
      </c>
    </row>
    <row r="434" spans="2:10" x14ac:dyDescent="0.25">
      <c r="B434" s="2">
        <v>431</v>
      </c>
      <c r="C434" s="6">
        <v>45214</v>
      </c>
      <c r="D434" s="2" t="s">
        <v>451</v>
      </c>
      <c r="E434" s="2" t="s">
        <v>17</v>
      </c>
      <c r="F434" s="2">
        <v>63</v>
      </c>
      <c r="G434" s="2" t="s">
        <v>23</v>
      </c>
      <c r="H434" s="2">
        <v>4</v>
      </c>
      <c r="I434" s="2">
        <v>300</v>
      </c>
      <c r="J434" s="2">
        <v>1200</v>
      </c>
    </row>
    <row r="435" spans="2:10" x14ac:dyDescent="0.25">
      <c r="B435" s="2">
        <v>432</v>
      </c>
      <c r="C435" s="6">
        <v>44931</v>
      </c>
      <c r="D435" s="2" t="s">
        <v>452</v>
      </c>
      <c r="E435" s="2" t="s">
        <v>20</v>
      </c>
      <c r="F435" s="2">
        <v>60</v>
      </c>
      <c r="G435" s="2" t="s">
        <v>23</v>
      </c>
      <c r="H435" s="2">
        <v>2</v>
      </c>
      <c r="I435" s="2">
        <v>500</v>
      </c>
      <c r="J435" s="2">
        <v>1000</v>
      </c>
    </row>
    <row r="436" spans="2:10" x14ac:dyDescent="0.25">
      <c r="B436" s="2">
        <v>433</v>
      </c>
      <c r="C436" s="6">
        <v>44984</v>
      </c>
      <c r="D436" s="2" t="s">
        <v>453</v>
      </c>
      <c r="E436" s="2" t="s">
        <v>17</v>
      </c>
      <c r="F436" s="2">
        <v>29</v>
      </c>
      <c r="G436" s="2" t="s">
        <v>18</v>
      </c>
      <c r="H436" s="2">
        <v>4</v>
      </c>
      <c r="I436" s="2">
        <v>50</v>
      </c>
      <c r="J436" s="2">
        <v>200</v>
      </c>
    </row>
    <row r="437" spans="2:10" x14ac:dyDescent="0.25">
      <c r="B437" s="2">
        <v>434</v>
      </c>
      <c r="C437" s="6">
        <v>44965</v>
      </c>
      <c r="D437" s="2" t="s">
        <v>454</v>
      </c>
      <c r="E437" s="2" t="s">
        <v>20</v>
      </c>
      <c r="F437" s="2">
        <v>43</v>
      </c>
      <c r="G437" s="2" t="s">
        <v>23</v>
      </c>
      <c r="H437" s="2">
        <v>2</v>
      </c>
      <c r="I437" s="2">
        <v>25</v>
      </c>
      <c r="J437" s="2">
        <v>50</v>
      </c>
    </row>
    <row r="438" spans="2:10" x14ac:dyDescent="0.25">
      <c r="B438" s="2">
        <v>435</v>
      </c>
      <c r="C438" s="6">
        <v>45280</v>
      </c>
      <c r="D438" s="2" t="s">
        <v>455</v>
      </c>
      <c r="E438" s="2" t="s">
        <v>20</v>
      </c>
      <c r="F438" s="2">
        <v>30</v>
      </c>
      <c r="G438" s="2" t="s">
        <v>18</v>
      </c>
      <c r="H438" s="2">
        <v>3</v>
      </c>
      <c r="I438" s="2">
        <v>300</v>
      </c>
      <c r="J438" s="2">
        <v>900</v>
      </c>
    </row>
    <row r="439" spans="2:10" x14ac:dyDescent="0.25">
      <c r="B439" s="2">
        <v>436</v>
      </c>
      <c r="C439" s="6">
        <v>45003</v>
      </c>
      <c r="D439" s="2" t="s">
        <v>456</v>
      </c>
      <c r="E439" s="2" t="s">
        <v>20</v>
      </c>
      <c r="F439" s="2">
        <v>57</v>
      </c>
      <c r="G439" s="2" t="s">
        <v>21</v>
      </c>
      <c r="H439" s="2">
        <v>4</v>
      </c>
      <c r="I439" s="2">
        <v>30</v>
      </c>
      <c r="J439" s="2">
        <v>120</v>
      </c>
    </row>
    <row r="440" spans="2:10" x14ac:dyDescent="0.25">
      <c r="B440" s="2">
        <v>437</v>
      </c>
      <c r="C440" s="6">
        <v>45206</v>
      </c>
      <c r="D440" s="2" t="s">
        <v>457</v>
      </c>
      <c r="E440" s="2" t="s">
        <v>20</v>
      </c>
      <c r="F440" s="2">
        <v>35</v>
      </c>
      <c r="G440" s="2" t="s">
        <v>23</v>
      </c>
      <c r="H440" s="2">
        <v>4</v>
      </c>
      <c r="I440" s="2">
        <v>300</v>
      </c>
      <c r="J440" s="2">
        <v>1200</v>
      </c>
    </row>
    <row r="441" spans="2:10" x14ac:dyDescent="0.25">
      <c r="B441" s="2">
        <v>438</v>
      </c>
      <c r="C441" s="6">
        <v>44945</v>
      </c>
      <c r="D441" s="2" t="s">
        <v>458</v>
      </c>
      <c r="E441" s="2" t="s">
        <v>20</v>
      </c>
      <c r="F441" s="2">
        <v>42</v>
      </c>
      <c r="G441" s="2" t="s">
        <v>21</v>
      </c>
      <c r="H441" s="2">
        <v>1</v>
      </c>
      <c r="I441" s="2">
        <v>30</v>
      </c>
      <c r="J441" s="2">
        <v>30</v>
      </c>
    </row>
    <row r="442" spans="2:10" x14ac:dyDescent="0.25">
      <c r="B442" s="2">
        <v>439</v>
      </c>
      <c r="C442" s="6">
        <v>45116</v>
      </c>
      <c r="D442" s="2" t="s">
        <v>459</v>
      </c>
      <c r="E442" s="2" t="s">
        <v>17</v>
      </c>
      <c r="F442" s="2">
        <v>50</v>
      </c>
      <c r="G442" s="2" t="s">
        <v>21</v>
      </c>
      <c r="H442" s="2">
        <v>3</v>
      </c>
      <c r="I442" s="2">
        <v>25</v>
      </c>
      <c r="J442" s="2">
        <v>75</v>
      </c>
    </row>
    <row r="443" spans="2:10" x14ac:dyDescent="0.25">
      <c r="B443" s="2">
        <v>440</v>
      </c>
      <c r="C443" s="6">
        <v>45225</v>
      </c>
      <c r="D443" s="2" t="s">
        <v>460</v>
      </c>
      <c r="E443" s="2" t="s">
        <v>17</v>
      </c>
      <c r="F443" s="2">
        <v>64</v>
      </c>
      <c r="G443" s="2" t="s">
        <v>21</v>
      </c>
      <c r="H443" s="2">
        <v>2</v>
      </c>
      <c r="I443" s="2">
        <v>300</v>
      </c>
      <c r="J443" s="2">
        <v>600</v>
      </c>
    </row>
    <row r="444" spans="2:10" x14ac:dyDescent="0.25">
      <c r="B444" s="2">
        <v>441</v>
      </c>
      <c r="C444" s="6">
        <v>45209</v>
      </c>
      <c r="D444" s="2" t="s">
        <v>461</v>
      </c>
      <c r="E444" s="2" t="s">
        <v>17</v>
      </c>
      <c r="F444" s="2">
        <v>57</v>
      </c>
      <c r="G444" s="2" t="s">
        <v>18</v>
      </c>
      <c r="H444" s="2">
        <v>4</v>
      </c>
      <c r="I444" s="2">
        <v>300</v>
      </c>
      <c r="J444" s="2">
        <v>1200</v>
      </c>
    </row>
    <row r="445" spans="2:10" x14ac:dyDescent="0.25">
      <c r="B445" s="2">
        <v>442</v>
      </c>
      <c r="C445" s="6">
        <v>45002</v>
      </c>
      <c r="D445" s="2" t="s">
        <v>462</v>
      </c>
      <c r="E445" s="2" t="s">
        <v>20</v>
      </c>
      <c r="F445" s="2">
        <v>60</v>
      </c>
      <c r="G445" s="2" t="s">
        <v>21</v>
      </c>
      <c r="H445" s="2">
        <v>4</v>
      </c>
      <c r="I445" s="2">
        <v>25</v>
      </c>
      <c r="J445" s="2">
        <v>100</v>
      </c>
    </row>
    <row r="446" spans="2:10" x14ac:dyDescent="0.25">
      <c r="B446" s="2">
        <v>443</v>
      </c>
      <c r="C446" s="6">
        <v>45147</v>
      </c>
      <c r="D446" s="2" t="s">
        <v>463</v>
      </c>
      <c r="E446" s="2" t="s">
        <v>17</v>
      </c>
      <c r="F446" s="2">
        <v>29</v>
      </c>
      <c r="G446" s="2" t="s">
        <v>21</v>
      </c>
      <c r="H446" s="2">
        <v>2</v>
      </c>
      <c r="I446" s="2">
        <v>300</v>
      </c>
      <c r="J446" s="2">
        <v>600</v>
      </c>
    </row>
    <row r="447" spans="2:10" x14ac:dyDescent="0.25">
      <c r="B447" s="2">
        <v>444</v>
      </c>
      <c r="C447" s="6">
        <v>44992</v>
      </c>
      <c r="D447" s="2" t="s">
        <v>464</v>
      </c>
      <c r="E447" s="2" t="s">
        <v>20</v>
      </c>
      <c r="F447" s="2">
        <v>61</v>
      </c>
      <c r="G447" s="2" t="s">
        <v>21</v>
      </c>
      <c r="H447" s="2">
        <v>3</v>
      </c>
      <c r="I447" s="2">
        <v>30</v>
      </c>
      <c r="J447" s="2">
        <v>90</v>
      </c>
    </row>
    <row r="448" spans="2:10" x14ac:dyDescent="0.25">
      <c r="B448" s="2">
        <v>445</v>
      </c>
      <c r="C448" s="6">
        <v>44948</v>
      </c>
      <c r="D448" s="2" t="s">
        <v>465</v>
      </c>
      <c r="E448" s="2" t="s">
        <v>20</v>
      </c>
      <c r="F448" s="2">
        <v>53</v>
      </c>
      <c r="G448" s="2" t="s">
        <v>23</v>
      </c>
      <c r="H448" s="2">
        <v>1</v>
      </c>
      <c r="I448" s="2">
        <v>300</v>
      </c>
      <c r="J448" s="2">
        <v>300</v>
      </c>
    </row>
    <row r="449" spans="2:10" x14ac:dyDescent="0.25">
      <c r="B449" s="2">
        <v>446</v>
      </c>
      <c r="C449" s="6">
        <v>45084</v>
      </c>
      <c r="D449" s="2" t="s">
        <v>466</v>
      </c>
      <c r="E449" s="2" t="s">
        <v>17</v>
      </c>
      <c r="F449" s="2">
        <v>21</v>
      </c>
      <c r="G449" s="2" t="s">
        <v>23</v>
      </c>
      <c r="H449" s="2">
        <v>1</v>
      </c>
      <c r="I449" s="2">
        <v>50</v>
      </c>
      <c r="J449" s="2">
        <v>50</v>
      </c>
    </row>
    <row r="450" spans="2:10" x14ac:dyDescent="0.25">
      <c r="B450" s="2">
        <v>447</v>
      </c>
      <c r="C450" s="6">
        <v>45113</v>
      </c>
      <c r="D450" s="2" t="s">
        <v>467</v>
      </c>
      <c r="E450" s="2" t="s">
        <v>17</v>
      </c>
      <c r="F450" s="2">
        <v>22</v>
      </c>
      <c r="G450" s="2" t="s">
        <v>18</v>
      </c>
      <c r="H450" s="2">
        <v>4</v>
      </c>
      <c r="I450" s="2">
        <v>500</v>
      </c>
      <c r="J450" s="2">
        <v>2000</v>
      </c>
    </row>
    <row r="451" spans="2:10" x14ac:dyDescent="0.25">
      <c r="B451" s="2">
        <v>448</v>
      </c>
      <c r="C451" s="6">
        <v>44947</v>
      </c>
      <c r="D451" s="2" t="s">
        <v>468</v>
      </c>
      <c r="E451" s="2" t="s">
        <v>20</v>
      </c>
      <c r="F451" s="2">
        <v>54</v>
      </c>
      <c r="G451" s="2" t="s">
        <v>18</v>
      </c>
      <c r="H451" s="2">
        <v>2</v>
      </c>
      <c r="I451" s="2">
        <v>30</v>
      </c>
      <c r="J451" s="2">
        <v>60</v>
      </c>
    </row>
    <row r="452" spans="2:10" x14ac:dyDescent="0.25">
      <c r="B452" s="2">
        <v>449</v>
      </c>
      <c r="C452" s="6">
        <v>45110</v>
      </c>
      <c r="D452" s="2" t="s">
        <v>469</v>
      </c>
      <c r="E452" s="2" t="s">
        <v>17</v>
      </c>
      <c r="F452" s="2">
        <v>25</v>
      </c>
      <c r="G452" s="2" t="s">
        <v>23</v>
      </c>
      <c r="H452" s="2">
        <v>4</v>
      </c>
      <c r="I452" s="2">
        <v>50</v>
      </c>
      <c r="J452" s="2">
        <v>200</v>
      </c>
    </row>
    <row r="453" spans="2:10" x14ac:dyDescent="0.25">
      <c r="B453" s="2">
        <v>450</v>
      </c>
      <c r="C453" s="6">
        <v>45034</v>
      </c>
      <c r="D453" s="2" t="s">
        <v>470</v>
      </c>
      <c r="E453" s="2" t="s">
        <v>20</v>
      </c>
      <c r="F453" s="2">
        <v>59</v>
      </c>
      <c r="G453" s="2" t="s">
        <v>18</v>
      </c>
      <c r="H453" s="2">
        <v>2</v>
      </c>
      <c r="I453" s="2">
        <v>25</v>
      </c>
      <c r="J453" s="2">
        <v>50</v>
      </c>
    </row>
    <row r="454" spans="2:10" x14ac:dyDescent="0.25">
      <c r="B454" s="2">
        <v>451</v>
      </c>
      <c r="C454" s="6">
        <v>45276</v>
      </c>
      <c r="D454" s="2" t="s">
        <v>471</v>
      </c>
      <c r="E454" s="2" t="s">
        <v>20</v>
      </c>
      <c r="F454" s="2">
        <v>45</v>
      </c>
      <c r="G454" s="2" t="s">
        <v>23</v>
      </c>
      <c r="H454" s="2">
        <v>1</v>
      </c>
      <c r="I454" s="2">
        <v>30</v>
      </c>
      <c r="J454" s="2">
        <v>30</v>
      </c>
    </row>
    <row r="455" spans="2:10" x14ac:dyDescent="0.25">
      <c r="B455" s="2">
        <v>452</v>
      </c>
      <c r="C455" s="6">
        <v>45054</v>
      </c>
      <c r="D455" s="2" t="s">
        <v>472</v>
      </c>
      <c r="E455" s="2" t="s">
        <v>20</v>
      </c>
      <c r="F455" s="2">
        <v>48</v>
      </c>
      <c r="G455" s="2" t="s">
        <v>21</v>
      </c>
      <c r="H455" s="2">
        <v>3</v>
      </c>
      <c r="I455" s="2">
        <v>500</v>
      </c>
      <c r="J455" s="2">
        <v>1500</v>
      </c>
    </row>
    <row r="456" spans="2:10" x14ac:dyDescent="0.25">
      <c r="B456" s="2">
        <v>453</v>
      </c>
      <c r="C456" s="6">
        <v>45268</v>
      </c>
      <c r="D456" s="2" t="s">
        <v>473</v>
      </c>
      <c r="E456" s="2" t="s">
        <v>20</v>
      </c>
      <c r="F456" s="2">
        <v>26</v>
      </c>
      <c r="G456" s="2" t="s">
        <v>21</v>
      </c>
      <c r="H456" s="2">
        <v>2</v>
      </c>
      <c r="I456" s="2">
        <v>500</v>
      </c>
      <c r="J456" s="2">
        <v>1000</v>
      </c>
    </row>
    <row r="457" spans="2:10" x14ac:dyDescent="0.25">
      <c r="B457" s="2">
        <v>454</v>
      </c>
      <c r="C457" s="6">
        <v>44979</v>
      </c>
      <c r="D457" s="2" t="s">
        <v>474</v>
      </c>
      <c r="E457" s="2" t="s">
        <v>20</v>
      </c>
      <c r="F457" s="2">
        <v>46</v>
      </c>
      <c r="G457" s="2" t="s">
        <v>18</v>
      </c>
      <c r="H457" s="2">
        <v>1</v>
      </c>
      <c r="I457" s="2">
        <v>25</v>
      </c>
      <c r="J457" s="2">
        <v>25</v>
      </c>
    </row>
    <row r="458" spans="2:10" x14ac:dyDescent="0.25">
      <c r="B458" s="2">
        <v>455</v>
      </c>
      <c r="C458" s="6">
        <v>45108</v>
      </c>
      <c r="D458" s="2" t="s">
        <v>475</v>
      </c>
      <c r="E458" s="2" t="s">
        <v>17</v>
      </c>
      <c r="F458" s="2">
        <v>31</v>
      </c>
      <c r="G458" s="2" t="s">
        <v>23</v>
      </c>
      <c r="H458" s="2">
        <v>4</v>
      </c>
      <c r="I458" s="2">
        <v>25</v>
      </c>
      <c r="J458" s="2">
        <v>100</v>
      </c>
    </row>
    <row r="459" spans="2:10" x14ac:dyDescent="0.25">
      <c r="B459" s="2">
        <v>456</v>
      </c>
      <c r="C459" s="6">
        <v>45213</v>
      </c>
      <c r="D459" s="2" t="s">
        <v>476</v>
      </c>
      <c r="E459" s="2" t="s">
        <v>17</v>
      </c>
      <c r="F459" s="2">
        <v>57</v>
      </c>
      <c r="G459" s="2" t="s">
        <v>23</v>
      </c>
      <c r="H459" s="2">
        <v>2</v>
      </c>
      <c r="I459" s="2">
        <v>30</v>
      </c>
      <c r="J459" s="2">
        <v>60</v>
      </c>
    </row>
    <row r="460" spans="2:10" x14ac:dyDescent="0.25">
      <c r="B460" s="2">
        <v>457</v>
      </c>
      <c r="C460" s="6">
        <v>45135</v>
      </c>
      <c r="D460" s="2" t="s">
        <v>477</v>
      </c>
      <c r="E460" s="2" t="s">
        <v>20</v>
      </c>
      <c r="F460" s="2">
        <v>58</v>
      </c>
      <c r="G460" s="2" t="s">
        <v>18</v>
      </c>
      <c r="H460" s="2">
        <v>3</v>
      </c>
      <c r="I460" s="2">
        <v>300</v>
      </c>
      <c r="J460" s="2">
        <v>900</v>
      </c>
    </row>
    <row r="461" spans="2:10" x14ac:dyDescent="0.25">
      <c r="B461" s="2">
        <v>458</v>
      </c>
      <c r="C461" s="6">
        <v>45244</v>
      </c>
      <c r="D461" s="2" t="s">
        <v>478</v>
      </c>
      <c r="E461" s="2" t="s">
        <v>20</v>
      </c>
      <c r="F461" s="2">
        <v>39</v>
      </c>
      <c r="G461" s="2" t="s">
        <v>23</v>
      </c>
      <c r="H461" s="2">
        <v>4</v>
      </c>
      <c r="I461" s="2">
        <v>25</v>
      </c>
      <c r="J461" s="2">
        <v>100</v>
      </c>
    </row>
    <row r="462" spans="2:10" x14ac:dyDescent="0.25">
      <c r="B462" s="2">
        <v>459</v>
      </c>
      <c r="C462" s="6">
        <v>45006</v>
      </c>
      <c r="D462" s="2" t="s">
        <v>479</v>
      </c>
      <c r="E462" s="2" t="s">
        <v>17</v>
      </c>
      <c r="F462" s="2">
        <v>28</v>
      </c>
      <c r="G462" s="2" t="s">
        <v>21</v>
      </c>
      <c r="H462" s="2">
        <v>4</v>
      </c>
      <c r="I462" s="2">
        <v>300</v>
      </c>
      <c r="J462" s="2">
        <v>1200</v>
      </c>
    </row>
    <row r="463" spans="2:10" x14ac:dyDescent="0.25">
      <c r="B463" s="2">
        <v>460</v>
      </c>
      <c r="C463" s="6">
        <v>45048</v>
      </c>
      <c r="D463" s="2" t="s">
        <v>480</v>
      </c>
      <c r="E463" s="2" t="s">
        <v>17</v>
      </c>
      <c r="F463" s="2">
        <v>40</v>
      </c>
      <c r="G463" s="2" t="s">
        <v>18</v>
      </c>
      <c r="H463" s="2">
        <v>1</v>
      </c>
      <c r="I463" s="2">
        <v>50</v>
      </c>
      <c r="J463" s="2">
        <v>50</v>
      </c>
    </row>
    <row r="464" spans="2:10" x14ac:dyDescent="0.25">
      <c r="B464" s="2">
        <v>461</v>
      </c>
      <c r="C464" s="6">
        <v>45010</v>
      </c>
      <c r="D464" s="2" t="s">
        <v>481</v>
      </c>
      <c r="E464" s="2" t="s">
        <v>20</v>
      </c>
      <c r="F464" s="2">
        <v>18</v>
      </c>
      <c r="G464" s="2" t="s">
        <v>18</v>
      </c>
      <c r="H464" s="2">
        <v>2</v>
      </c>
      <c r="I464" s="2">
        <v>500</v>
      </c>
      <c r="J464" s="2">
        <v>1000</v>
      </c>
    </row>
    <row r="465" spans="2:10" x14ac:dyDescent="0.25">
      <c r="B465" s="2">
        <v>462</v>
      </c>
      <c r="C465" s="6">
        <v>45017</v>
      </c>
      <c r="D465" s="2" t="s">
        <v>482</v>
      </c>
      <c r="E465" s="2" t="s">
        <v>17</v>
      </c>
      <c r="F465" s="2">
        <v>63</v>
      </c>
      <c r="G465" s="2" t="s">
        <v>23</v>
      </c>
      <c r="H465" s="2">
        <v>4</v>
      </c>
      <c r="I465" s="2">
        <v>300</v>
      </c>
      <c r="J465" s="2">
        <v>1200</v>
      </c>
    </row>
    <row r="466" spans="2:10" x14ac:dyDescent="0.25">
      <c r="B466" s="2">
        <v>463</v>
      </c>
      <c r="C466" s="6">
        <v>45138</v>
      </c>
      <c r="D466" s="2" t="s">
        <v>483</v>
      </c>
      <c r="E466" s="2" t="s">
        <v>20</v>
      </c>
      <c r="F466" s="2">
        <v>54</v>
      </c>
      <c r="G466" s="2" t="s">
        <v>18</v>
      </c>
      <c r="H466" s="2">
        <v>3</v>
      </c>
      <c r="I466" s="2">
        <v>500</v>
      </c>
      <c r="J466" s="2">
        <v>1500</v>
      </c>
    </row>
    <row r="467" spans="2:10" x14ac:dyDescent="0.25">
      <c r="B467" s="2">
        <v>464</v>
      </c>
      <c r="C467" s="6">
        <v>44939</v>
      </c>
      <c r="D467" s="2" t="s">
        <v>484</v>
      </c>
      <c r="E467" s="2" t="s">
        <v>17</v>
      </c>
      <c r="F467" s="2">
        <v>38</v>
      </c>
      <c r="G467" s="2" t="s">
        <v>23</v>
      </c>
      <c r="H467" s="2">
        <v>2</v>
      </c>
      <c r="I467" s="2">
        <v>300</v>
      </c>
      <c r="J467" s="2">
        <v>600</v>
      </c>
    </row>
    <row r="468" spans="2:10" x14ac:dyDescent="0.25">
      <c r="B468" s="2">
        <v>465</v>
      </c>
      <c r="C468" s="6">
        <v>45018</v>
      </c>
      <c r="D468" s="2" t="s">
        <v>485</v>
      </c>
      <c r="E468" s="2" t="s">
        <v>20</v>
      </c>
      <c r="F468" s="2">
        <v>43</v>
      </c>
      <c r="G468" s="2" t="s">
        <v>23</v>
      </c>
      <c r="H468" s="2">
        <v>3</v>
      </c>
      <c r="I468" s="2">
        <v>50</v>
      </c>
      <c r="J468" s="2">
        <v>150</v>
      </c>
    </row>
    <row r="469" spans="2:10" x14ac:dyDescent="0.25">
      <c r="B469" s="2">
        <v>466</v>
      </c>
      <c r="C469" s="6">
        <v>45097</v>
      </c>
      <c r="D469" s="2" t="s">
        <v>486</v>
      </c>
      <c r="E469" s="2" t="s">
        <v>17</v>
      </c>
      <c r="F469" s="2">
        <v>63</v>
      </c>
      <c r="G469" s="2" t="s">
        <v>23</v>
      </c>
      <c r="H469" s="2">
        <v>4</v>
      </c>
      <c r="I469" s="2">
        <v>25</v>
      </c>
      <c r="J469" s="2">
        <v>100</v>
      </c>
    </row>
    <row r="470" spans="2:10" x14ac:dyDescent="0.25">
      <c r="B470" s="2">
        <v>467</v>
      </c>
      <c r="C470" s="6">
        <v>45137</v>
      </c>
      <c r="D470" s="2" t="s">
        <v>487</v>
      </c>
      <c r="E470" s="2" t="s">
        <v>20</v>
      </c>
      <c r="F470" s="2">
        <v>53</v>
      </c>
      <c r="G470" s="2" t="s">
        <v>23</v>
      </c>
      <c r="H470" s="2">
        <v>3</v>
      </c>
      <c r="I470" s="2">
        <v>50</v>
      </c>
      <c r="J470" s="2">
        <v>150</v>
      </c>
    </row>
    <row r="471" spans="2:10" x14ac:dyDescent="0.25">
      <c r="B471" s="2">
        <v>468</v>
      </c>
      <c r="C471" s="6">
        <v>45269</v>
      </c>
      <c r="D471" s="2" t="s">
        <v>488</v>
      </c>
      <c r="E471" s="2" t="s">
        <v>17</v>
      </c>
      <c r="F471" s="2">
        <v>40</v>
      </c>
      <c r="G471" s="2" t="s">
        <v>23</v>
      </c>
      <c r="H471" s="2">
        <v>1</v>
      </c>
      <c r="I471" s="2">
        <v>25</v>
      </c>
      <c r="J471" s="2">
        <v>25</v>
      </c>
    </row>
    <row r="472" spans="2:10" x14ac:dyDescent="0.25">
      <c r="B472" s="2">
        <v>469</v>
      </c>
      <c r="C472" s="6">
        <v>45054</v>
      </c>
      <c r="D472" s="2" t="s">
        <v>489</v>
      </c>
      <c r="E472" s="2" t="s">
        <v>17</v>
      </c>
      <c r="F472" s="2">
        <v>18</v>
      </c>
      <c r="G472" s="2" t="s">
        <v>18</v>
      </c>
      <c r="H472" s="2">
        <v>3</v>
      </c>
      <c r="I472" s="2">
        <v>25</v>
      </c>
      <c r="J472" s="2">
        <v>75</v>
      </c>
    </row>
    <row r="473" spans="2:10" x14ac:dyDescent="0.25">
      <c r="B473" s="2">
        <v>470</v>
      </c>
      <c r="C473" s="6">
        <v>45063</v>
      </c>
      <c r="D473" s="2" t="s">
        <v>490</v>
      </c>
      <c r="E473" s="2" t="s">
        <v>20</v>
      </c>
      <c r="F473" s="2">
        <v>57</v>
      </c>
      <c r="G473" s="2" t="s">
        <v>21</v>
      </c>
      <c r="H473" s="2">
        <v>2</v>
      </c>
      <c r="I473" s="2">
        <v>500</v>
      </c>
      <c r="J473" s="2">
        <v>1000</v>
      </c>
    </row>
    <row r="474" spans="2:10" x14ac:dyDescent="0.25">
      <c r="B474" s="2">
        <v>471</v>
      </c>
      <c r="C474" s="6">
        <v>45008</v>
      </c>
      <c r="D474" s="2" t="s">
        <v>491</v>
      </c>
      <c r="E474" s="2" t="s">
        <v>17</v>
      </c>
      <c r="F474" s="2">
        <v>32</v>
      </c>
      <c r="G474" s="2" t="s">
        <v>21</v>
      </c>
      <c r="H474" s="2">
        <v>3</v>
      </c>
      <c r="I474" s="2">
        <v>50</v>
      </c>
      <c r="J474" s="2">
        <v>150</v>
      </c>
    </row>
    <row r="475" spans="2:10" x14ac:dyDescent="0.25">
      <c r="B475" s="2">
        <v>472</v>
      </c>
      <c r="C475" s="6">
        <v>45286</v>
      </c>
      <c r="D475" s="2" t="s">
        <v>492</v>
      </c>
      <c r="E475" s="2" t="s">
        <v>20</v>
      </c>
      <c r="F475" s="2">
        <v>38</v>
      </c>
      <c r="G475" s="2" t="s">
        <v>18</v>
      </c>
      <c r="H475" s="2">
        <v>3</v>
      </c>
      <c r="I475" s="2">
        <v>300</v>
      </c>
      <c r="J475" s="2">
        <v>900</v>
      </c>
    </row>
    <row r="476" spans="2:10" x14ac:dyDescent="0.25">
      <c r="B476" s="2">
        <v>473</v>
      </c>
      <c r="C476" s="6">
        <v>44982</v>
      </c>
      <c r="D476" s="2" t="s">
        <v>493</v>
      </c>
      <c r="E476" s="2" t="s">
        <v>17</v>
      </c>
      <c r="F476" s="2">
        <v>64</v>
      </c>
      <c r="G476" s="2" t="s">
        <v>18</v>
      </c>
      <c r="H476" s="2">
        <v>1</v>
      </c>
      <c r="I476" s="2">
        <v>50</v>
      </c>
      <c r="J476" s="2">
        <v>50</v>
      </c>
    </row>
    <row r="477" spans="2:10" x14ac:dyDescent="0.25">
      <c r="B477" s="2">
        <v>474</v>
      </c>
      <c r="C477" s="6">
        <v>45122</v>
      </c>
      <c r="D477" s="2" t="s">
        <v>494</v>
      </c>
      <c r="E477" s="2" t="s">
        <v>20</v>
      </c>
      <c r="F477" s="2">
        <v>26</v>
      </c>
      <c r="G477" s="2" t="s">
        <v>21</v>
      </c>
      <c r="H477" s="2">
        <v>3</v>
      </c>
      <c r="I477" s="2">
        <v>500</v>
      </c>
      <c r="J477" s="2">
        <v>1500</v>
      </c>
    </row>
    <row r="478" spans="2:10" x14ac:dyDescent="0.25">
      <c r="B478" s="2">
        <v>475</v>
      </c>
      <c r="C478" s="6">
        <v>44946</v>
      </c>
      <c r="D478" s="2" t="s">
        <v>495</v>
      </c>
      <c r="E478" s="2" t="s">
        <v>17</v>
      </c>
      <c r="F478" s="2">
        <v>26</v>
      </c>
      <c r="G478" s="2" t="s">
        <v>21</v>
      </c>
      <c r="H478" s="2">
        <v>3</v>
      </c>
      <c r="I478" s="2">
        <v>25</v>
      </c>
      <c r="J478" s="2">
        <v>75</v>
      </c>
    </row>
    <row r="479" spans="2:10" x14ac:dyDescent="0.25">
      <c r="B479" s="2">
        <v>476</v>
      </c>
      <c r="C479" s="6">
        <v>45167</v>
      </c>
      <c r="D479" s="2" t="s">
        <v>496</v>
      </c>
      <c r="E479" s="2" t="s">
        <v>20</v>
      </c>
      <c r="F479" s="2">
        <v>27</v>
      </c>
      <c r="G479" s="2" t="s">
        <v>21</v>
      </c>
      <c r="H479" s="2">
        <v>4</v>
      </c>
      <c r="I479" s="2">
        <v>500</v>
      </c>
      <c r="J479" s="2">
        <v>2000</v>
      </c>
    </row>
    <row r="480" spans="2:10" x14ac:dyDescent="0.25">
      <c r="B480" s="2">
        <v>477</v>
      </c>
      <c r="C480" s="6">
        <v>45040</v>
      </c>
      <c r="D480" s="2" t="s">
        <v>497</v>
      </c>
      <c r="E480" s="2" t="s">
        <v>17</v>
      </c>
      <c r="F480" s="2">
        <v>43</v>
      </c>
      <c r="G480" s="2" t="s">
        <v>21</v>
      </c>
      <c r="H480" s="2">
        <v>4</v>
      </c>
      <c r="I480" s="2">
        <v>30</v>
      </c>
      <c r="J480" s="2">
        <v>120</v>
      </c>
    </row>
    <row r="481" spans="2:10" x14ac:dyDescent="0.25">
      <c r="B481" s="2">
        <v>478</v>
      </c>
      <c r="C481" s="6">
        <v>45029</v>
      </c>
      <c r="D481" s="2" t="s">
        <v>498</v>
      </c>
      <c r="E481" s="2" t="s">
        <v>20</v>
      </c>
      <c r="F481" s="2">
        <v>58</v>
      </c>
      <c r="G481" s="2" t="s">
        <v>21</v>
      </c>
      <c r="H481" s="2">
        <v>2</v>
      </c>
      <c r="I481" s="2">
        <v>30</v>
      </c>
      <c r="J481" s="2">
        <v>60</v>
      </c>
    </row>
    <row r="482" spans="2:10" x14ac:dyDescent="0.25">
      <c r="B482" s="2">
        <v>479</v>
      </c>
      <c r="C482" s="6">
        <v>45162</v>
      </c>
      <c r="D482" s="2" t="s">
        <v>499</v>
      </c>
      <c r="E482" s="2" t="s">
        <v>17</v>
      </c>
      <c r="F482" s="2">
        <v>52</v>
      </c>
      <c r="G482" s="2" t="s">
        <v>23</v>
      </c>
      <c r="H482" s="2">
        <v>4</v>
      </c>
      <c r="I482" s="2">
        <v>300</v>
      </c>
      <c r="J482" s="2">
        <v>1200</v>
      </c>
    </row>
    <row r="483" spans="2:10" x14ac:dyDescent="0.25">
      <c r="B483" s="2">
        <v>480</v>
      </c>
      <c r="C483" s="6">
        <v>45106</v>
      </c>
      <c r="D483" s="2" t="s">
        <v>500</v>
      </c>
      <c r="E483" s="2" t="s">
        <v>20</v>
      </c>
      <c r="F483" s="2">
        <v>42</v>
      </c>
      <c r="G483" s="2" t="s">
        <v>18</v>
      </c>
      <c r="H483" s="2">
        <v>4</v>
      </c>
      <c r="I483" s="2">
        <v>500</v>
      </c>
      <c r="J483" s="2">
        <v>2000</v>
      </c>
    </row>
    <row r="484" spans="2:10" x14ac:dyDescent="0.25">
      <c r="B484" s="2">
        <v>481</v>
      </c>
      <c r="C484" s="6">
        <v>45083</v>
      </c>
      <c r="D484" s="2" t="s">
        <v>501</v>
      </c>
      <c r="E484" s="2" t="s">
        <v>20</v>
      </c>
      <c r="F484" s="2">
        <v>43</v>
      </c>
      <c r="G484" s="2" t="s">
        <v>23</v>
      </c>
      <c r="H484" s="2">
        <v>4</v>
      </c>
      <c r="I484" s="2">
        <v>300</v>
      </c>
      <c r="J484" s="2">
        <v>1200</v>
      </c>
    </row>
    <row r="485" spans="2:10" x14ac:dyDescent="0.25">
      <c r="B485" s="2">
        <v>482</v>
      </c>
      <c r="C485" s="6">
        <v>45043</v>
      </c>
      <c r="D485" s="2" t="s">
        <v>502</v>
      </c>
      <c r="E485" s="2" t="s">
        <v>20</v>
      </c>
      <c r="F485" s="2">
        <v>28</v>
      </c>
      <c r="G485" s="2" t="s">
        <v>21</v>
      </c>
      <c r="H485" s="2">
        <v>4</v>
      </c>
      <c r="I485" s="2">
        <v>300</v>
      </c>
      <c r="J485" s="2">
        <v>1200</v>
      </c>
    </row>
    <row r="486" spans="2:10" x14ac:dyDescent="0.25">
      <c r="B486" s="2">
        <v>483</v>
      </c>
      <c r="C486" s="6">
        <v>45041</v>
      </c>
      <c r="D486" s="2" t="s">
        <v>503</v>
      </c>
      <c r="E486" s="2" t="s">
        <v>17</v>
      </c>
      <c r="F486" s="2">
        <v>55</v>
      </c>
      <c r="G486" s="2" t="s">
        <v>21</v>
      </c>
      <c r="H486" s="2">
        <v>1</v>
      </c>
      <c r="I486" s="2">
        <v>30</v>
      </c>
      <c r="J486" s="2">
        <v>30</v>
      </c>
    </row>
    <row r="487" spans="2:10" x14ac:dyDescent="0.25">
      <c r="B487" s="2">
        <v>484</v>
      </c>
      <c r="C487" s="6">
        <v>44939</v>
      </c>
      <c r="D487" s="2" t="s">
        <v>504</v>
      </c>
      <c r="E487" s="2" t="s">
        <v>20</v>
      </c>
      <c r="F487" s="2">
        <v>19</v>
      </c>
      <c r="G487" s="2" t="s">
        <v>21</v>
      </c>
      <c r="H487" s="2">
        <v>4</v>
      </c>
      <c r="I487" s="2">
        <v>300</v>
      </c>
      <c r="J487" s="2">
        <v>1200</v>
      </c>
    </row>
    <row r="488" spans="2:10" x14ac:dyDescent="0.25">
      <c r="B488" s="2">
        <v>485</v>
      </c>
      <c r="C488" s="6">
        <v>45264</v>
      </c>
      <c r="D488" s="2" t="s">
        <v>505</v>
      </c>
      <c r="E488" s="2" t="s">
        <v>17</v>
      </c>
      <c r="F488" s="2">
        <v>24</v>
      </c>
      <c r="G488" s="2" t="s">
        <v>23</v>
      </c>
      <c r="H488" s="2">
        <v>1</v>
      </c>
      <c r="I488" s="2">
        <v>30</v>
      </c>
      <c r="J488" s="2">
        <v>30</v>
      </c>
    </row>
    <row r="489" spans="2:10" x14ac:dyDescent="0.25">
      <c r="B489" s="2">
        <v>486</v>
      </c>
      <c r="C489" s="6">
        <v>45025</v>
      </c>
      <c r="D489" s="2" t="s">
        <v>506</v>
      </c>
      <c r="E489" s="2" t="s">
        <v>20</v>
      </c>
      <c r="F489" s="2">
        <v>35</v>
      </c>
      <c r="G489" s="2" t="s">
        <v>23</v>
      </c>
      <c r="H489" s="2">
        <v>1</v>
      </c>
      <c r="I489" s="2">
        <v>25</v>
      </c>
      <c r="J489" s="2">
        <v>25</v>
      </c>
    </row>
    <row r="490" spans="2:10" x14ac:dyDescent="0.25">
      <c r="B490" s="2">
        <v>487</v>
      </c>
      <c r="C490" s="6">
        <v>45131</v>
      </c>
      <c r="D490" s="2" t="s">
        <v>507</v>
      </c>
      <c r="E490" s="2" t="s">
        <v>17</v>
      </c>
      <c r="F490" s="2">
        <v>44</v>
      </c>
      <c r="G490" s="2" t="s">
        <v>21</v>
      </c>
      <c r="H490" s="2">
        <v>4</v>
      </c>
      <c r="I490" s="2">
        <v>500</v>
      </c>
      <c r="J490" s="2">
        <v>2000</v>
      </c>
    </row>
    <row r="491" spans="2:10" x14ac:dyDescent="0.25">
      <c r="B491" s="2">
        <v>488</v>
      </c>
      <c r="C491" s="6">
        <v>45095</v>
      </c>
      <c r="D491" s="2" t="s">
        <v>508</v>
      </c>
      <c r="E491" s="2" t="s">
        <v>20</v>
      </c>
      <c r="F491" s="2">
        <v>51</v>
      </c>
      <c r="G491" s="2" t="s">
        <v>23</v>
      </c>
      <c r="H491" s="2">
        <v>3</v>
      </c>
      <c r="I491" s="2">
        <v>300</v>
      </c>
      <c r="J491" s="2">
        <v>900</v>
      </c>
    </row>
    <row r="492" spans="2:10" x14ac:dyDescent="0.25">
      <c r="B492" s="2">
        <v>489</v>
      </c>
      <c r="C492" s="6">
        <v>45069</v>
      </c>
      <c r="D492" s="2" t="s">
        <v>509</v>
      </c>
      <c r="E492" s="2" t="s">
        <v>17</v>
      </c>
      <c r="F492" s="2">
        <v>44</v>
      </c>
      <c r="G492" s="2" t="s">
        <v>23</v>
      </c>
      <c r="H492" s="2">
        <v>1</v>
      </c>
      <c r="I492" s="2">
        <v>30</v>
      </c>
      <c r="J492" s="2">
        <v>30</v>
      </c>
    </row>
    <row r="493" spans="2:10" x14ac:dyDescent="0.25">
      <c r="B493" s="2">
        <v>490</v>
      </c>
      <c r="C493" s="6">
        <v>44962</v>
      </c>
      <c r="D493" s="2" t="s">
        <v>510</v>
      </c>
      <c r="E493" s="2" t="s">
        <v>17</v>
      </c>
      <c r="F493" s="2">
        <v>34</v>
      </c>
      <c r="G493" s="2" t="s">
        <v>21</v>
      </c>
      <c r="H493" s="2">
        <v>3</v>
      </c>
      <c r="I493" s="2">
        <v>50</v>
      </c>
      <c r="J493" s="2">
        <v>150</v>
      </c>
    </row>
    <row r="494" spans="2:10" x14ac:dyDescent="0.25">
      <c r="B494" s="2">
        <v>491</v>
      </c>
      <c r="C494" s="6">
        <v>45069</v>
      </c>
      <c r="D494" s="2" t="s">
        <v>511</v>
      </c>
      <c r="E494" s="2" t="s">
        <v>20</v>
      </c>
      <c r="F494" s="2">
        <v>60</v>
      </c>
      <c r="G494" s="2" t="s">
        <v>23</v>
      </c>
      <c r="H494" s="2">
        <v>3</v>
      </c>
      <c r="I494" s="2">
        <v>300</v>
      </c>
      <c r="J494" s="2">
        <v>900</v>
      </c>
    </row>
    <row r="495" spans="2:10" x14ac:dyDescent="0.25">
      <c r="B495" s="2">
        <v>492</v>
      </c>
      <c r="C495" s="6">
        <v>45106</v>
      </c>
      <c r="D495" s="2" t="s">
        <v>512</v>
      </c>
      <c r="E495" s="2" t="s">
        <v>17</v>
      </c>
      <c r="F495" s="2">
        <v>61</v>
      </c>
      <c r="G495" s="2" t="s">
        <v>18</v>
      </c>
      <c r="H495" s="2">
        <v>4</v>
      </c>
      <c r="I495" s="2">
        <v>25</v>
      </c>
      <c r="J495" s="2">
        <v>100</v>
      </c>
    </row>
    <row r="496" spans="2:10" x14ac:dyDescent="0.25">
      <c r="B496" s="2">
        <v>493</v>
      </c>
      <c r="C496" s="6">
        <v>45255</v>
      </c>
      <c r="D496" s="2" t="s">
        <v>513</v>
      </c>
      <c r="E496" s="2" t="s">
        <v>17</v>
      </c>
      <c r="F496" s="2">
        <v>41</v>
      </c>
      <c r="G496" s="2" t="s">
        <v>18</v>
      </c>
      <c r="H496" s="2">
        <v>2</v>
      </c>
      <c r="I496" s="2">
        <v>25</v>
      </c>
      <c r="J496" s="2">
        <v>50</v>
      </c>
    </row>
    <row r="497" spans="2:10" x14ac:dyDescent="0.25">
      <c r="B497" s="2">
        <v>494</v>
      </c>
      <c r="C497" s="6">
        <v>45187</v>
      </c>
      <c r="D497" s="2" t="s">
        <v>514</v>
      </c>
      <c r="E497" s="2" t="s">
        <v>20</v>
      </c>
      <c r="F497" s="2">
        <v>42</v>
      </c>
      <c r="G497" s="2" t="s">
        <v>18</v>
      </c>
      <c r="H497" s="2">
        <v>4</v>
      </c>
      <c r="I497" s="2">
        <v>50</v>
      </c>
      <c r="J497" s="2">
        <v>200</v>
      </c>
    </row>
    <row r="498" spans="2:10" x14ac:dyDescent="0.25">
      <c r="B498" s="2">
        <v>495</v>
      </c>
      <c r="C498" s="6">
        <v>45131</v>
      </c>
      <c r="D498" s="2" t="s">
        <v>515</v>
      </c>
      <c r="E498" s="2" t="s">
        <v>17</v>
      </c>
      <c r="F498" s="2">
        <v>24</v>
      </c>
      <c r="G498" s="2" t="s">
        <v>18</v>
      </c>
      <c r="H498" s="2">
        <v>2</v>
      </c>
      <c r="I498" s="2">
        <v>30</v>
      </c>
      <c r="J498" s="2">
        <v>60</v>
      </c>
    </row>
    <row r="499" spans="2:10" x14ac:dyDescent="0.25">
      <c r="B499" s="2">
        <v>496</v>
      </c>
      <c r="C499" s="6">
        <v>45274</v>
      </c>
      <c r="D499" s="2" t="s">
        <v>516</v>
      </c>
      <c r="E499" s="2" t="s">
        <v>17</v>
      </c>
      <c r="F499" s="2">
        <v>23</v>
      </c>
      <c r="G499" s="2" t="s">
        <v>21</v>
      </c>
      <c r="H499" s="2">
        <v>2</v>
      </c>
      <c r="I499" s="2">
        <v>300</v>
      </c>
      <c r="J499" s="2">
        <v>600</v>
      </c>
    </row>
    <row r="500" spans="2:10" x14ac:dyDescent="0.25">
      <c r="B500" s="2">
        <v>497</v>
      </c>
      <c r="C500" s="6">
        <v>45201</v>
      </c>
      <c r="D500" s="2" t="s">
        <v>517</v>
      </c>
      <c r="E500" s="2" t="s">
        <v>17</v>
      </c>
      <c r="F500" s="2">
        <v>41</v>
      </c>
      <c r="G500" s="2" t="s">
        <v>21</v>
      </c>
      <c r="H500" s="2">
        <v>4</v>
      </c>
      <c r="I500" s="2">
        <v>30</v>
      </c>
      <c r="J500" s="2">
        <v>120</v>
      </c>
    </row>
    <row r="501" spans="2:10" x14ac:dyDescent="0.25">
      <c r="B501" s="2">
        <v>498</v>
      </c>
      <c r="C501" s="6">
        <v>45096</v>
      </c>
      <c r="D501" s="2" t="s">
        <v>518</v>
      </c>
      <c r="E501" s="2" t="s">
        <v>20</v>
      </c>
      <c r="F501" s="2">
        <v>50</v>
      </c>
      <c r="G501" s="2" t="s">
        <v>21</v>
      </c>
      <c r="H501" s="2">
        <v>4</v>
      </c>
      <c r="I501" s="2">
        <v>25</v>
      </c>
      <c r="J501" s="2">
        <v>100</v>
      </c>
    </row>
    <row r="502" spans="2:10" x14ac:dyDescent="0.25">
      <c r="B502" s="2">
        <v>499</v>
      </c>
      <c r="C502" s="6">
        <v>44941</v>
      </c>
      <c r="D502" s="2" t="s">
        <v>519</v>
      </c>
      <c r="E502" s="2" t="s">
        <v>17</v>
      </c>
      <c r="F502" s="2">
        <v>46</v>
      </c>
      <c r="G502" s="2" t="s">
        <v>18</v>
      </c>
      <c r="H502" s="2">
        <v>2</v>
      </c>
      <c r="I502" s="2">
        <v>30</v>
      </c>
      <c r="J502" s="2">
        <v>60</v>
      </c>
    </row>
    <row r="503" spans="2:10" x14ac:dyDescent="0.25">
      <c r="B503" s="2">
        <v>500</v>
      </c>
      <c r="C503" s="6">
        <v>44986</v>
      </c>
      <c r="D503" s="2" t="s">
        <v>520</v>
      </c>
      <c r="E503" s="2" t="s">
        <v>20</v>
      </c>
      <c r="F503" s="2">
        <v>60</v>
      </c>
      <c r="G503" s="2" t="s">
        <v>18</v>
      </c>
      <c r="H503" s="2">
        <v>4</v>
      </c>
      <c r="I503" s="2">
        <v>25</v>
      </c>
      <c r="J503" s="2">
        <v>100</v>
      </c>
    </row>
    <row r="504" spans="2:10" x14ac:dyDescent="0.25">
      <c r="B504" s="2">
        <v>501</v>
      </c>
      <c r="C504" s="6">
        <v>45060</v>
      </c>
      <c r="D504" s="2" t="s">
        <v>521</v>
      </c>
      <c r="E504" s="2" t="s">
        <v>17</v>
      </c>
      <c r="F504" s="2">
        <v>39</v>
      </c>
      <c r="G504" s="2" t="s">
        <v>23</v>
      </c>
      <c r="H504" s="2">
        <v>2</v>
      </c>
      <c r="I504" s="2">
        <v>30</v>
      </c>
      <c r="J504" s="2">
        <v>60</v>
      </c>
    </row>
    <row r="505" spans="2:10" x14ac:dyDescent="0.25">
      <c r="B505" s="2">
        <v>502</v>
      </c>
      <c r="C505" s="6">
        <v>45018</v>
      </c>
      <c r="D505" s="2" t="s">
        <v>522</v>
      </c>
      <c r="E505" s="2" t="s">
        <v>17</v>
      </c>
      <c r="F505" s="2">
        <v>43</v>
      </c>
      <c r="G505" s="2" t="s">
        <v>23</v>
      </c>
      <c r="H505" s="2">
        <v>3</v>
      </c>
      <c r="I505" s="2">
        <v>50</v>
      </c>
      <c r="J505" s="2">
        <v>150</v>
      </c>
    </row>
    <row r="506" spans="2:10" x14ac:dyDescent="0.25">
      <c r="B506" s="2">
        <v>503</v>
      </c>
      <c r="C506" s="6">
        <v>45224</v>
      </c>
      <c r="D506" s="2" t="s">
        <v>523</v>
      </c>
      <c r="E506" s="2" t="s">
        <v>17</v>
      </c>
      <c r="F506" s="2">
        <v>45</v>
      </c>
      <c r="G506" s="2" t="s">
        <v>18</v>
      </c>
      <c r="H506" s="2">
        <v>4</v>
      </c>
      <c r="I506" s="2">
        <v>500</v>
      </c>
      <c r="J506" s="2">
        <v>2000</v>
      </c>
    </row>
    <row r="507" spans="2:10" x14ac:dyDescent="0.25">
      <c r="B507" s="2">
        <v>504</v>
      </c>
      <c r="C507" s="6">
        <v>45062</v>
      </c>
      <c r="D507" s="2" t="s">
        <v>524</v>
      </c>
      <c r="E507" s="2" t="s">
        <v>20</v>
      </c>
      <c r="F507" s="2">
        <v>38</v>
      </c>
      <c r="G507" s="2" t="s">
        <v>18</v>
      </c>
      <c r="H507" s="2">
        <v>3</v>
      </c>
      <c r="I507" s="2">
        <v>50</v>
      </c>
      <c r="J507" s="2">
        <v>150</v>
      </c>
    </row>
    <row r="508" spans="2:10" x14ac:dyDescent="0.25">
      <c r="B508" s="2">
        <v>505</v>
      </c>
      <c r="C508" s="6">
        <v>44946</v>
      </c>
      <c r="D508" s="2" t="s">
        <v>525</v>
      </c>
      <c r="E508" s="2" t="s">
        <v>17</v>
      </c>
      <c r="F508" s="2">
        <v>24</v>
      </c>
      <c r="G508" s="2" t="s">
        <v>18</v>
      </c>
      <c r="H508" s="2">
        <v>1</v>
      </c>
      <c r="I508" s="2">
        <v>50</v>
      </c>
      <c r="J508" s="2">
        <v>50</v>
      </c>
    </row>
    <row r="509" spans="2:10" x14ac:dyDescent="0.25">
      <c r="B509" s="2">
        <v>506</v>
      </c>
      <c r="C509" s="6">
        <v>44982</v>
      </c>
      <c r="D509" s="2" t="s">
        <v>526</v>
      </c>
      <c r="E509" s="2" t="s">
        <v>17</v>
      </c>
      <c r="F509" s="2">
        <v>34</v>
      </c>
      <c r="G509" s="2" t="s">
        <v>18</v>
      </c>
      <c r="H509" s="2">
        <v>3</v>
      </c>
      <c r="I509" s="2">
        <v>500</v>
      </c>
      <c r="J509" s="2">
        <v>1500</v>
      </c>
    </row>
    <row r="510" spans="2:10" x14ac:dyDescent="0.25">
      <c r="B510" s="2">
        <v>507</v>
      </c>
      <c r="C510" s="6">
        <v>45232</v>
      </c>
      <c r="D510" s="2" t="s">
        <v>527</v>
      </c>
      <c r="E510" s="2" t="s">
        <v>20</v>
      </c>
      <c r="F510" s="2">
        <v>37</v>
      </c>
      <c r="G510" s="2" t="s">
        <v>23</v>
      </c>
      <c r="H510" s="2">
        <v>3</v>
      </c>
      <c r="I510" s="2">
        <v>500</v>
      </c>
      <c r="J510" s="2">
        <v>1500</v>
      </c>
    </row>
    <row r="511" spans="2:10" x14ac:dyDescent="0.25">
      <c r="B511" s="2">
        <v>508</v>
      </c>
      <c r="C511" s="6">
        <v>45149</v>
      </c>
      <c r="D511" s="2" t="s">
        <v>528</v>
      </c>
      <c r="E511" s="2" t="s">
        <v>17</v>
      </c>
      <c r="F511" s="2">
        <v>58</v>
      </c>
      <c r="G511" s="2" t="s">
        <v>18</v>
      </c>
      <c r="H511" s="2">
        <v>2</v>
      </c>
      <c r="I511" s="2">
        <v>300</v>
      </c>
      <c r="J511" s="2">
        <v>600</v>
      </c>
    </row>
    <row r="512" spans="2:10" x14ac:dyDescent="0.25">
      <c r="B512" s="2">
        <v>509</v>
      </c>
      <c r="C512" s="6">
        <v>45103</v>
      </c>
      <c r="D512" s="2" t="s">
        <v>529</v>
      </c>
      <c r="E512" s="2" t="s">
        <v>20</v>
      </c>
      <c r="F512" s="2">
        <v>37</v>
      </c>
      <c r="G512" s="2" t="s">
        <v>23</v>
      </c>
      <c r="H512" s="2">
        <v>3</v>
      </c>
      <c r="I512" s="2">
        <v>300</v>
      </c>
      <c r="J512" s="2">
        <v>900</v>
      </c>
    </row>
    <row r="513" spans="2:10" x14ac:dyDescent="0.25">
      <c r="B513" s="2">
        <v>510</v>
      </c>
      <c r="C513" s="6">
        <v>45087</v>
      </c>
      <c r="D513" s="2" t="s">
        <v>530</v>
      </c>
      <c r="E513" s="2" t="s">
        <v>20</v>
      </c>
      <c r="F513" s="2">
        <v>39</v>
      </c>
      <c r="G513" s="2" t="s">
        <v>18</v>
      </c>
      <c r="H513" s="2">
        <v>4</v>
      </c>
      <c r="I513" s="2">
        <v>50</v>
      </c>
      <c r="J513" s="2">
        <v>200</v>
      </c>
    </row>
    <row r="514" spans="2:10" x14ac:dyDescent="0.25">
      <c r="B514" s="2">
        <v>511</v>
      </c>
      <c r="C514" s="6">
        <v>45150</v>
      </c>
      <c r="D514" s="2" t="s">
        <v>531</v>
      </c>
      <c r="E514" s="2" t="s">
        <v>17</v>
      </c>
      <c r="F514" s="2">
        <v>45</v>
      </c>
      <c r="G514" s="2" t="s">
        <v>18</v>
      </c>
      <c r="H514" s="2">
        <v>2</v>
      </c>
      <c r="I514" s="2">
        <v>50</v>
      </c>
      <c r="J514" s="2">
        <v>100</v>
      </c>
    </row>
    <row r="515" spans="2:10" x14ac:dyDescent="0.25">
      <c r="B515" s="2">
        <v>512</v>
      </c>
      <c r="C515" s="6">
        <v>45237</v>
      </c>
      <c r="D515" s="2" t="s">
        <v>532</v>
      </c>
      <c r="E515" s="2" t="s">
        <v>20</v>
      </c>
      <c r="F515" s="2">
        <v>57</v>
      </c>
      <c r="G515" s="2" t="s">
        <v>18</v>
      </c>
      <c r="H515" s="2">
        <v>1</v>
      </c>
      <c r="I515" s="2">
        <v>25</v>
      </c>
      <c r="J515" s="2">
        <v>25</v>
      </c>
    </row>
    <row r="516" spans="2:10" x14ac:dyDescent="0.25">
      <c r="B516" s="2">
        <v>513</v>
      </c>
      <c r="C516" s="6">
        <v>45188</v>
      </c>
      <c r="D516" s="2" t="s">
        <v>533</v>
      </c>
      <c r="E516" s="2" t="s">
        <v>17</v>
      </c>
      <c r="F516" s="2">
        <v>24</v>
      </c>
      <c r="G516" s="2" t="s">
        <v>23</v>
      </c>
      <c r="H516" s="2">
        <v>4</v>
      </c>
      <c r="I516" s="2">
        <v>25</v>
      </c>
      <c r="J516" s="2">
        <v>100</v>
      </c>
    </row>
    <row r="517" spans="2:10" x14ac:dyDescent="0.25">
      <c r="B517" s="2">
        <v>514</v>
      </c>
      <c r="C517" s="6">
        <v>44986</v>
      </c>
      <c r="D517" s="2" t="s">
        <v>534</v>
      </c>
      <c r="E517" s="2" t="s">
        <v>20</v>
      </c>
      <c r="F517" s="2">
        <v>18</v>
      </c>
      <c r="G517" s="2" t="s">
        <v>23</v>
      </c>
      <c r="H517" s="2">
        <v>1</v>
      </c>
      <c r="I517" s="2">
        <v>300</v>
      </c>
      <c r="J517" s="2">
        <v>300</v>
      </c>
    </row>
    <row r="518" spans="2:10" x14ac:dyDescent="0.25">
      <c r="B518" s="2">
        <v>515</v>
      </c>
      <c r="C518" s="6">
        <v>45124</v>
      </c>
      <c r="D518" s="2" t="s">
        <v>535</v>
      </c>
      <c r="E518" s="2" t="s">
        <v>20</v>
      </c>
      <c r="F518" s="2">
        <v>49</v>
      </c>
      <c r="G518" s="2" t="s">
        <v>21</v>
      </c>
      <c r="H518" s="2">
        <v>3</v>
      </c>
      <c r="I518" s="2">
        <v>300</v>
      </c>
      <c r="J518" s="2">
        <v>900</v>
      </c>
    </row>
    <row r="519" spans="2:10" x14ac:dyDescent="0.25">
      <c r="B519" s="2">
        <v>516</v>
      </c>
      <c r="C519" s="6">
        <v>45222</v>
      </c>
      <c r="D519" s="2" t="s">
        <v>536</v>
      </c>
      <c r="E519" s="2" t="s">
        <v>17</v>
      </c>
      <c r="F519" s="2">
        <v>30</v>
      </c>
      <c r="G519" s="2" t="s">
        <v>18</v>
      </c>
      <c r="H519" s="2">
        <v>4</v>
      </c>
      <c r="I519" s="2">
        <v>25</v>
      </c>
      <c r="J519" s="2">
        <v>100</v>
      </c>
    </row>
    <row r="520" spans="2:10" x14ac:dyDescent="0.25">
      <c r="B520" s="2">
        <v>517</v>
      </c>
      <c r="C520" s="6">
        <v>45024</v>
      </c>
      <c r="D520" s="2" t="s">
        <v>537</v>
      </c>
      <c r="E520" s="2" t="s">
        <v>20</v>
      </c>
      <c r="F520" s="2">
        <v>47</v>
      </c>
      <c r="G520" s="2" t="s">
        <v>21</v>
      </c>
      <c r="H520" s="2">
        <v>4</v>
      </c>
      <c r="I520" s="2">
        <v>25</v>
      </c>
      <c r="J520" s="2">
        <v>100</v>
      </c>
    </row>
    <row r="521" spans="2:10" x14ac:dyDescent="0.25">
      <c r="B521" s="2">
        <v>518</v>
      </c>
      <c r="C521" s="6">
        <v>45057</v>
      </c>
      <c r="D521" s="2" t="s">
        <v>538</v>
      </c>
      <c r="E521" s="2" t="s">
        <v>20</v>
      </c>
      <c r="F521" s="2">
        <v>40</v>
      </c>
      <c r="G521" s="2" t="s">
        <v>21</v>
      </c>
      <c r="H521" s="2">
        <v>1</v>
      </c>
      <c r="I521" s="2">
        <v>30</v>
      </c>
      <c r="J521" s="2">
        <v>30</v>
      </c>
    </row>
    <row r="522" spans="2:10" x14ac:dyDescent="0.25">
      <c r="B522" s="2">
        <v>519</v>
      </c>
      <c r="C522" s="6">
        <v>44949</v>
      </c>
      <c r="D522" s="2" t="s">
        <v>539</v>
      </c>
      <c r="E522" s="2" t="s">
        <v>20</v>
      </c>
      <c r="F522" s="2">
        <v>36</v>
      </c>
      <c r="G522" s="2" t="s">
        <v>23</v>
      </c>
      <c r="H522" s="2">
        <v>4</v>
      </c>
      <c r="I522" s="2">
        <v>30</v>
      </c>
      <c r="J522" s="2">
        <v>120</v>
      </c>
    </row>
    <row r="523" spans="2:10" x14ac:dyDescent="0.25">
      <c r="B523" s="2">
        <v>520</v>
      </c>
      <c r="C523" s="6">
        <v>45289</v>
      </c>
      <c r="D523" s="2" t="s">
        <v>540</v>
      </c>
      <c r="E523" s="2" t="s">
        <v>20</v>
      </c>
      <c r="F523" s="2">
        <v>49</v>
      </c>
      <c r="G523" s="2" t="s">
        <v>23</v>
      </c>
      <c r="H523" s="2">
        <v>4</v>
      </c>
      <c r="I523" s="2">
        <v>25</v>
      </c>
      <c r="J523" s="2">
        <v>100</v>
      </c>
    </row>
    <row r="524" spans="2:10" x14ac:dyDescent="0.25">
      <c r="B524" s="2">
        <v>521</v>
      </c>
      <c r="C524" s="6">
        <v>45150</v>
      </c>
      <c r="D524" s="2" t="s">
        <v>541</v>
      </c>
      <c r="E524" s="2" t="s">
        <v>20</v>
      </c>
      <c r="F524" s="2">
        <v>47</v>
      </c>
      <c r="G524" s="2" t="s">
        <v>21</v>
      </c>
      <c r="H524" s="2">
        <v>4</v>
      </c>
      <c r="I524" s="2">
        <v>30</v>
      </c>
      <c r="J524" s="2">
        <v>120</v>
      </c>
    </row>
    <row r="525" spans="2:10" x14ac:dyDescent="0.25">
      <c r="B525" s="2">
        <v>522</v>
      </c>
      <c r="C525" s="6">
        <v>44927</v>
      </c>
      <c r="D525" s="2" t="s">
        <v>542</v>
      </c>
      <c r="E525" s="2" t="s">
        <v>17</v>
      </c>
      <c r="F525" s="2">
        <v>46</v>
      </c>
      <c r="G525" s="2" t="s">
        <v>18</v>
      </c>
      <c r="H525" s="2">
        <v>3</v>
      </c>
      <c r="I525" s="2">
        <v>500</v>
      </c>
      <c r="J525" s="2">
        <v>1500</v>
      </c>
    </row>
    <row r="526" spans="2:10" x14ac:dyDescent="0.25">
      <c r="B526" s="2">
        <v>523</v>
      </c>
      <c r="C526" s="6">
        <v>45193</v>
      </c>
      <c r="D526" s="2" t="s">
        <v>543</v>
      </c>
      <c r="E526" s="2" t="s">
        <v>20</v>
      </c>
      <c r="F526" s="2">
        <v>62</v>
      </c>
      <c r="G526" s="2" t="s">
        <v>23</v>
      </c>
      <c r="H526" s="2">
        <v>1</v>
      </c>
      <c r="I526" s="2">
        <v>300</v>
      </c>
      <c r="J526" s="2">
        <v>300</v>
      </c>
    </row>
    <row r="527" spans="2:10" x14ac:dyDescent="0.25">
      <c r="B527" s="2">
        <v>524</v>
      </c>
      <c r="C527" s="6">
        <v>45202</v>
      </c>
      <c r="D527" s="2" t="s">
        <v>544</v>
      </c>
      <c r="E527" s="2" t="s">
        <v>17</v>
      </c>
      <c r="F527" s="2">
        <v>46</v>
      </c>
      <c r="G527" s="2" t="s">
        <v>18</v>
      </c>
      <c r="H527" s="2">
        <v>4</v>
      </c>
      <c r="I527" s="2">
        <v>300</v>
      </c>
      <c r="J527" s="2">
        <v>1200</v>
      </c>
    </row>
    <row r="528" spans="2:10" x14ac:dyDescent="0.25">
      <c r="B528" s="2">
        <v>525</v>
      </c>
      <c r="C528" s="6">
        <v>45278</v>
      </c>
      <c r="D528" s="2" t="s">
        <v>545</v>
      </c>
      <c r="E528" s="2" t="s">
        <v>20</v>
      </c>
      <c r="F528" s="2">
        <v>47</v>
      </c>
      <c r="G528" s="2" t="s">
        <v>18</v>
      </c>
      <c r="H528" s="2">
        <v>2</v>
      </c>
      <c r="I528" s="2">
        <v>25</v>
      </c>
      <c r="J528" s="2">
        <v>50</v>
      </c>
    </row>
    <row r="529" spans="2:10" x14ac:dyDescent="0.25">
      <c r="B529" s="2">
        <v>526</v>
      </c>
      <c r="C529" s="6">
        <v>45270</v>
      </c>
      <c r="D529" s="2" t="s">
        <v>546</v>
      </c>
      <c r="E529" s="2" t="s">
        <v>17</v>
      </c>
      <c r="F529" s="2">
        <v>33</v>
      </c>
      <c r="G529" s="2" t="s">
        <v>21</v>
      </c>
      <c r="H529" s="2">
        <v>2</v>
      </c>
      <c r="I529" s="2">
        <v>50</v>
      </c>
      <c r="J529" s="2">
        <v>100</v>
      </c>
    </row>
    <row r="530" spans="2:10" x14ac:dyDescent="0.25">
      <c r="B530" s="2">
        <v>527</v>
      </c>
      <c r="C530" s="6">
        <v>45027</v>
      </c>
      <c r="D530" s="2" t="s">
        <v>547</v>
      </c>
      <c r="E530" s="2" t="s">
        <v>17</v>
      </c>
      <c r="F530" s="2">
        <v>57</v>
      </c>
      <c r="G530" s="2" t="s">
        <v>21</v>
      </c>
      <c r="H530" s="2">
        <v>2</v>
      </c>
      <c r="I530" s="2">
        <v>25</v>
      </c>
      <c r="J530" s="2">
        <v>50</v>
      </c>
    </row>
    <row r="531" spans="2:10" x14ac:dyDescent="0.25">
      <c r="B531" s="2">
        <v>528</v>
      </c>
      <c r="C531" s="6">
        <v>45113</v>
      </c>
      <c r="D531" s="2" t="s">
        <v>548</v>
      </c>
      <c r="E531" s="2" t="s">
        <v>20</v>
      </c>
      <c r="F531" s="2">
        <v>36</v>
      </c>
      <c r="G531" s="2" t="s">
        <v>21</v>
      </c>
      <c r="H531" s="2">
        <v>2</v>
      </c>
      <c r="I531" s="2">
        <v>30</v>
      </c>
      <c r="J531" s="2">
        <v>60</v>
      </c>
    </row>
    <row r="532" spans="2:10" x14ac:dyDescent="0.25">
      <c r="B532" s="2">
        <v>529</v>
      </c>
      <c r="C532" s="6">
        <v>45147</v>
      </c>
      <c r="D532" s="2" t="s">
        <v>549</v>
      </c>
      <c r="E532" s="2" t="s">
        <v>20</v>
      </c>
      <c r="F532" s="2">
        <v>35</v>
      </c>
      <c r="G532" s="2" t="s">
        <v>21</v>
      </c>
      <c r="H532" s="2">
        <v>3</v>
      </c>
      <c r="I532" s="2">
        <v>50</v>
      </c>
      <c r="J532" s="2">
        <v>150</v>
      </c>
    </row>
    <row r="533" spans="2:10" x14ac:dyDescent="0.25">
      <c r="B533" s="2">
        <v>530</v>
      </c>
      <c r="C533" s="6">
        <v>44962</v>
      </c>
      <c r="D533" s="2" t="s">
        <v>550</v>
      </c>
      <c r="E533" s="2" t="s">
        <v>20</v>
      </c>
      <c r="F533" s="2">
        <v>18</v>
      </c>
      <c r="G533" s="2" t="s">
        <v>23</v>
      </c>
      <c r="H533" s="2">
        <v>4</v>
      </c>
      <c r="I533" s="2">
        <v>30</v>
      </c>
      <c r="J533" s="2">
        <v>120</v>
      </c>
    </row>
    <row r="534" spans="2:10" x14ac:dyDescent="0.25">
      <c r="B534" s="2">
        <v>531</v>
      </c>
      <c r="C534" s="6">
        <v>45267</v>
      </c>
      <c r="D534" s="2" t="s">
        <v>551</v>
      </c>
      <c r="E534" s="2" t="s">
        <v>17</v>
      </c>
      <c r="F534" s="2">
        <v>31</v>
      </c>
      <c r="G534" s="2" t="s">
        <v>23</v>
      </c>
      <c r="H534" s="2">
        <v>1</v>
      </c>
      <c r="I534" s="2">
        <v>500</v>
      </c>
      <c r="J534" s="2">
        <v>500</v>
      </c>
    </row>
    <row r="535" spans="2:10" x14ac:dyDescent="0.25">
      <c r="B535" s="2">
        <v>532</v>
      </c>
      <c r="C535" s="6">
        <v>45096</v>
      </c>
      <c r="D535" s="2" t="s">
        <v>552</v>
      </c>
      <c r="E535" s="2" t="s">
        <v>20</v>
      </c>
      <c r="F535" s="2">
        <v>64</v>
      </c>
      <c r="G535" s="2" t="s">
        <v>21</v>
      </c>
      <c r="H535" s="2">
        <v>4</v>
      </c>
      <c r="I535" s="2">
        <v>30</v>
      </c>
      <c r="J535" s="2">
        <v>120</v>
      </c>
    </row>
    <row r="536" spans="2:10" x14ac:dyDescent="0.25">
      <c r="B536" s="2">
        <v>533</v>
      </c>
      <c r="C536" s="6">
        <v>45246</v>
      </c>
      <c r="D536" s="2" t="s">
        <v>553</v>
      </c>
      <c r="E536" s="2" t="s">
        <v>17</v>
      </c>
      <c r="F536" s="2">
        <v>19</v>
      </c>
      <c r="G536" s="2" t="s">
        <v>23</v>
      </c>
      <c r="H536" s="2">
        <v>3</v>
      </c>
      <c r="I536" s="2">
        <v>500</v>
      </c>
      <c r="J536" s="2">
        <v>1500</v>
      </c>
    </row>
    <row r="537" spans="2:10" x14ac:dyDescent="0.25">
      <c r="B537" s="2">
        <v>534</v>
      </c>
      <c r="C537" s="6">
        <v>45087</v>
      </c>
      <c r="D537" s="2" t="s">
        <v>554</v>
      </c>
      <c r="E537" s="2" t="s">
        <v>17</v>
      </c>
      <c r="F537" s="2">
        <v>45</v>
      </c>
      <c r="G537" s="2" t="s">
        <v>21</v>
      </c>
      <c r="H537" s="2">
        <v>2</v>
      </c>
      <c r="I537" s="2">
        <v>500</v>
      </c>
      <c r="J537" s="2">
        <v>1000</v>
      </c>
    </row>
    <row r="538" spans="2:10" x14ac:dyDescent="0.25">
      <c r="B538" s="2">
        <v>535</v>
      </c>
      <c r="C538" s="6">
        <v>45266</v>
      </c>
      <c r="D538" s="2" t="s">
        <v>555</v>
      </c>
      <c r="E538" s="2" t="s">
        <v>17</v>
      </c>
      <c r="F538" s="2">
        <v>47</v>
      </c>
      <c r="G538" s="2" t="s">
        <v>18</v>
      </c>
      <c r="H538" s="2">
        <v>3</v>
      </c>
      <c r="I538" s="2">
        <v>30</v>
      </c>
      <c r="J538" s="2">
        <v>90</v>
      </c>
    </row>
    <row r="539" spans="2:10" x14ac:dyDescent="0.25">
      <c r="B539" s="2">
        <v>536</v>
      </c>
      <c r="C539" s="6">
        <v>44990</v>
      </c>
      <c r="D539" s="2" t="s">
        <v>556</v>
      </c>
      <c r="E539" s="2" t="s">
        <v>20</v>
      </c>
      <c r="F539" s="2">
        <v>55</v>
      </c>
      <c r="G539" s="2" t="s">
        <v>18</v>
      </c>
      <c r="H539" s="2">
        <v>4</v>
      </c>
      <c r="I539" s="2">
        <v>30</v>
      </c>
      <c r="J539" s="2">
        <v>120</v>
      </c>
    </row>
    <row r="540" spans="2:10" x14ac:dyDescent="0.25">
      <c r="B540" s="2">
        <v>537</v>
      </c>
      <c r="C540" s="6">
        <v>45080</v>
      </c>
      <c r="D540" s="2" t="s">
        <v>557</v>
      </c>
      <c r="E540" s="2" t="s">
        <v>20</v>
      </c>
      <c r="F540" s="2">
        <v>21</v>
      </c>
      <c r="G540" s="2" t="s">
        <v>18</v>
      </c>
      <c r="H540" s="2">
        <v>1</v>
      </c>
      <c r="I540" s="2">
        <v>500</v>
      </c>
      <c r="J540" s="2">
        <v>500</v>
      </c>
    </row>
    <row r="541" spans="2:10" x14ac:dyDescent="0.25">
      <c r="B541" s="2">
        <v>538</v>
      </c>
      <c r="C541" s="6">
        <v>45186</v>
      </c>
      <c r="D541" s="2" t="s">
        <v>558</v>
      </c>
      <c r="E541" s="2" t="s">
        <v>17</v>
      </c>
      <c r="F541" s="2">
        <v>18</v>
      </c>
      <c r="G541" s="2" t="s">
        <v>21</v>
      </c>
      <c r="H541" s="2">
        <v>3</v>
      </c>
      <c r="I541" s="2">
        <v>50</v>
      </c>
      <c r="J541" s="2">
        <v>150</v>
      </c>
    </row>
    <row r="542" spans="2:10" x14ac:dyDescent="0.25">
      <c r="B542" s="2">
        <v>539</v>
      </c>
      <c r="C542" s="6">
        <v>45085</v>
      </c>
      <c r="D542" s="2" t="s">
        <v>559</v>
      </c>
      <c r="E542" s="2" t="s">
        <v>17</v>
      </c>
      <c r="F542" s="2">
        <v>25</v>
      </c>
      <c r="G542" s="2" t="s">
        <v>18</v>
      </c>
      <c r="H542" s="2">
        <v>1</v>
      </c>
      <c r="I542" s="2">
        <v>500</v>
      </c>
      <c r="J542" s="2">
        <v>500</v>
      </c>
    </row>
    <row r="543" spans="2:10" x14ac:dyDescent="0.25">
      <c r="B543" s="2">
        <v>540</v>
      </c>
      <c r="C543" s="6">
        <v>45268</v>
      </c>
      <c r="D543" s="2" t="s">
        <v>560</v>
      </c>
      <c r="E543" s="2" t="s">
        <v>20</v>
      </c>
      <c r="F543" s="2">
        <v>46</v>
      </c>
      <c r="G543" s="2" t="s">
        <v>23</v>
      </c>
      <c r="H543" s="2">
        <v>3</v>
      </c>
      <c r="I543" s="2">
        <v>300</v>
      </c>
      <c r="J543" s="2">
        <v>900</v>
      </c>
    </row>
    <row r="544" spans="2:10" x14ac:dyDescent="0.25">
      <c r="B544" s="2">
        <v>541</v>
      </c>
      <c r="C544" s="6">
        <v>45136</v>
      </c>
      <c r="D544" s="2" t="s">
        <v>561</v>
      </c>
      <c r="E544" s="2" t="s">
        <v>17</v>
      </c>
      <c r="F544" s="2">
        <v>56</v>
      </c>
      <c r="G544" s="2" t="s">
        <v>18</v>
      </c>
      <c r="H544" s="2">
        <v>1</v>
      </c>
      <c r="I544" s="2">
        <v>500</v>
      </c>
      <c r="J544" s="2">
        <v>500</v>
      </c>
    </row>
    <row r="545" spans="2:10" x14ac:dyDescent="0.25">
      <c r="B545" s="2">
        <v>542</v>
      </c>
      <c r="C545" s="6">
        <v>45094</v>
      </c>
      <c r="D545" s="2" t="s">
        <v>562</v>
      </c>
      <c r="E545" s="2" t="s">
        <v>20</v>
      </c>
      <c r="F545" s="2">
        <v>20</v>
      </c>
      <c r="G545" s="2" t="s">
        <v>18</v>
      </c>
      <c r="H545" s="2">
        <v>1</v>
      </c>
      <c r="I545" s="2">
        <v>50</v>
      </c>
      <c r="J545" s="2">
        <v>50</v>
      </c>
    </row>
    <row r="546" spans="2:10" x14ac:dyDescent="0.25">
      <c r="B546" s="2">
        <v>543</v>
      </c>
      <c r="C546" s="6">
        <v>45133</v>
      </c>
      <c r="D546" s="2" t="s">
        <v>563</v>
      </c>
      <c r="E546" s="2" t="s">
        <v>17</v>
      </c>
      <c r="F546" s="2">
        <v>49</v>
      </c>
      <c r="G546" s="2" t="s">
        <v>18</v>
      </c>
      <c r="H546" s="2">
        <v>2</v>
      </c>
      <c r="I546" s="2">
        <v>300</v>
      </c>
      <c r="J546" s="2">
        <v>600</v>
      </c>
    </row>
    <row r="547" spans="2:10" x14ac:dyDescent="0.25">
      <c r="B547" s="2">
        <v>544</v>
      </c>
      <c r="C547" s="6">
        <v>45283</v>
      </c>
      <c r="D547" s="2" t="s">
        <v>564</v>
      </c>
      <c r="E547" s="2" t="s">
        <v>20</v>
      </c>
      <c r="F547" s="2">
        <v>27</v>
      </c>
      <c r="G547" s="2" t="s">
        <v>23</v>
      </c>
      <c r="H547" s="2">
        <v>1</v>
      </c>
      <c r="I547" s="2">
        <v>25</v>
      </c>
      <c r="J547" s="2">
        <v>25</v>
      </c>
    </row>
    <row r="548" spans="2:10" x14ac:dyDescent="0.25">
      <c r="B548" s="2">
        <v>545</v>
      </c>
      <c r="C548" s="6">
        <v>45078</v>
      </c>
      <c r="D548" s="2" t="s">
        <v>565</v>
      </c>
      <c r="E548" s="2" t="s">
        <v>17</v>
      </c>
      <c r="F548" s="2">
        <v>27</v>
      </c>
      <c r="G548" s="2" t="s">
        <v>21</v>
      </c>
      <c r="H548" s="2">
        <v>2</v>
      </c>
      <c r="I548" s="2">
        <v>25</v>
      </c>
      <c r="J548" s="2">
        <v>50</v>
      </c>
    </row>
    <row r="549" spans="2:10" x14ac:dyDescent="0.25">
      <c r="B549" s="2">
        <v>546</v>
      </c>
      <c r="C549" s="6">
        <v>45210</v>
      </c>
      <c r="D549" s="2" t="s">
        <v>566</v>
      </c>
      <c r="E549" s="2" t="s">
        <v>20</v>
      </c>
      <c r="F549" s="2">
        <v>36</v>
      </c>
      <c r="G549" s="2" t="s">
        <v>23</v>
      </c>
      <c r="H549" s="2">
        <v>4</v>
      </c>
      <c r="I549" s="2">
        <v>50</v>
      </c>
      <c r="J549" s="2">
        <v>200</v>
      </c>
    </row>
    <row r="550" spans="2:10" x14ac:dyDescent="0.25">
      <c r="B550" s="2">
        <v>547</v>
      </c>
      <c r="C550" s="6">
        <v>44992</v>
      </c>
      <c r="D550" s="2" t="s">
        <v>567</v>
      </c>
      <c r="E550" s="2" t="s">
        <v>17</v>
      </c>
      <c r="F550" s="2">
        <v>63</v>
      </c>
      <c r="G550" s="2" t="s">
        <v>21</v>
      </c>
      <c r="H550" s="2">
        <v>4</v>
      </c>
      <c r="I550" s="2">
        <v>500</v>
      </c>
      <c r="J550" s="2">
        <v>2000</v>
      </c>
    </row>
    <row r="551" spans="2:10" x14ac:dyDescent="0.25">
      <c r="B551" s="2">
        <v>548</v>
      </c>
      <c r="C551" s="6">
        <v>45025</v>
      </c>
      <c r="D551" s="2" t="s">
        <v>568</v>
      </c>
      <c r="E551" s="2" t="s">
        <v>20</v>
      </c>
      <c r="F551" s="2">
        <v>51</v>
      </c>
      <c r="G551" s="2" t="s">
        <v>21</v>
      </c>
      <c r="H551" s="2">
        <v>2</v>
      </c>
      <c r="I551" s="2">
        <v>30</v>
      </c>
      <c r="J551" s="2">
        <v>60</v>
      </c>
    </row>
    <row r="552" spans="2:10" x14ac:dyDescent="0.25">
      <c r="B552" s="2">
        <v>549</v>
      </c>
      <c r="C552" s="6">
        <v>45142</v>
      </c>
      <c r="D552" s="2" t="s">
        <v>569</v>
      </c>
      <c r="E552" s="2" t="s">
        <v>20</v>
      </c>
      <c r="F552" s="2">
        <v>50</v>
      </c>
      <c r="G552" s="2" t="s">
        <v>18</v>
      </c>
      <c r="H552" s="2">
        <v>2</v>
      </c>
      <c r="I552" s="2">
        <v>50</v>
      </c>
      <c r="J552" s="2">
        <v>100</v>
      </c>
    </row>
    <row r="553" spans="2:10" x14ac:dyDescent="0.25">
      <c r="B553" s="2">
        <v>550</v>
      </c>
      <c r="C553" s="6">
        <v>45267</v>
      </c>
      <c r="D553" s="2" t="s">
        <v>570</v>
      </c>
      <c r="E553" s="2" t="s">
        <v>17</v>
      </c>
      <c r="F553" s="2">
        <v>40</v>
      </c>
      <c r="G553" s="2" t="s">
        <v>21</v>
      </c>
      <c r="H553" s="2">
        <v>3</v>
      </c>
      <c r="I553" s="2">
        <v>300</v>
      </c>
      <c r="J553" s="2">
        <v>900</v>
      </c>
    </row>
    <row r="554" spans="2:10" x14ac:dyDescent="0.25">
      <c r="B554" s="2">
        <v>551</v>
      </c>
      <c r="C554" s="6">
        <v>45121</v>
      </c>
      <c r="D554" s="2" t="s">
        <v>571</v>
      </c>
      <c r="E554" s="2" t="s">
        <v>17</v>
      </c>
      <c r="F554" s="2">
        <v>45</v>
      </c>
      <c r="G554" s="2" t="s">
        <v>23</v>
      </c>
      <c r="H554" s="2">
        <v>3</v>
      </c>
      <c r="I554" s="2">
        <v>300</v>
      </c>
      <c r="J554" s="2">
        <v>900</v>
      </c>
    </row>
    <row r="555" spans="2:10" x14ac:dyDescent="0.25">
      <c r="B555" s="2">
        <v>552</v>
      </c>
      <c r="C555" s="6">
        <v>45273</v>
      </c>
      <c r="D555" s="2" t="s">
        <v>572</v>
      </c>
      <c r="E555" s="2" t="s">
        <v>20</v>
      </c>
      <c r="F555" s="2">
        <v>49</v>
      </c>
      <c r="G555" s="2" t="s">
        <v>23</v>
      </c>
      <c r="H555" s="2">
        <v>3</v>
      </c>
      <c r="I555" s="2">
        <v>25</v>
      </c>
      <c r="J555" s="2">
        <v>75</v>
      </c>
    </row>
    <row r="556" spans="2:10" x14ac:dyDescent="0.25">
      <c r="B556" s="2">
        <v>553</v>
      </c>
      <c r="C556" s="6">
        <v>45016</v>
      </c>
      <c r="D556" s="2" t="s">
        <v>573</v>
      </c>
      <c r="E556" s="2" t="s">
        <v>17</v>
      </c>
      <c r="F556" s="2">
        <v>24</v>
      </c>
      <c r="G556" s="2" t="s">
        <v>21</v>
      </c>
      <c r="H556" s="2">
        <v>4</v>
      </c>
      <c r="I556" s="2">
        <v>300</v>
      </c>
      <c r="J556" s="2">
        <v>1200</v>
      </c>
    </row>
    <row r="557" spans="2:10" x14ac:dyDescent="0.25">
      <c r="B557" s="2">
        <v>554</v>
      </c>
      <c r="C557" s="6">
        <v>45242</v>
      </c>
      <c r="D557" s="2" t="s">
        <v>574</v>
      </c>
      <c r="E557" s="2" t="s">
        <v>20</v>
      </c>
      <c r="F557" s="2">
        <v>46</v>
      </c>
      <c r="G557" s="2" t="s">
        <v>18</v>
      </c>
      <c r="H557" s="2">
        <v>3</v>
      </c>
      <c r="I557" s="2">
        <v>50</v>
      </c>
      <c r="J557" s="2">
        <v>150</v>
      </c>
    </row>
    <row r="558" spans="2:10" x14ac:dyDescent="0.25">
      <c r="B558" s="2">
        <v>555</v>
      </c>
      <c r="C558" s="6">
        <v>45218</v>
      </c>
      <c r="D558" s="2" t="s">
        <v>575</v>
      </c>
      <c r="E558" s="2" t="s">
        <v>17</v>
      </c>
      <c r="F558" s="2">
        <v>25</v>
      </c>
      <c r="G558" s="2" t="s">
        <v>18</v>
      </c>
      <c r="H558" s="2">
        <v>1</v>
      </c>
      <c r="I558" s="2">
        <v>300</v>
      </c>
      <c r="J558" s="2">
        <v>300</v>
      </c>
    </row>
    <row r="559" spans="2:10" x14ac:dyDescent="0.25">
      <c r="B559" s="2">
        <v>556</v>
      </c>
      <c r="C559" s="6">
        <v>45081</v>
      </c>
      <c r="D559" s="2" t="s">
        <v>576</v>
      </c>
      <c r="E559" s="2" t="s">
        <v>20</v>
      </c>
      <c r="F559" s="2">
        <v>18</v>
      </c>
      <c r="G559" s="2" t="s">
        <v>23</v>
      </c>
      <c r="H559" s="2">
        <v>1</v>
      </c>
      <c r="I559" s="2">
        <v>50</v>
      </c>
      <c r="J559" s="2">
        <v>50</v>
      </c>
    </row>
    <row r="560" spans="2:10" x14ac:dyDescent="0.25">
      <c r="B560" s="2">
        <v>557</v>
      </c>
      <c r="C560" s="6">
        <v>45134</v>
      </c>
      <c r="D560" s="2" t="s">
        <v>577</v>
      </c>
      <c r="E560" s="2" t="s">
        <v>20</v>
      </c>
      <c r="F560" s="2">
        <v>20</v>
      </c>
      <c r="G560" s="2" t="s">
        <v>18</v>
      </c>
      <c r="H560" s="2">
        <v>3</v>
      </c>
      <c r="I560" s="2">
        <v>30</v>
      </c>
      <c r="J560" s="2">
        <v>90</v>
      </c>
    </row>
    <row r="561" spans="2:10" x14ac:dyDescent="0.25">
      <c r="B561" s="2">
        <v>558</v>
      </c>
      <c r="C561" s="6">
        <v>45207</v>
      </c>
      <c r="D561" s="2" t="s">
        <v>578</v>
      </c>
      <c r="E561" s="2" t="s">
        <v>20</v>
      </c>
      <c r="F561" s="2">
        <v>41</v>
      </c>
      <c r="G561" s="2" t="s">
        <v>21</v>
      </c>
      <c r="H561" s="2">
        <v>1</v>
      </c>
      <c r="I561" s="2">
        <v>25</v>
      </c>
      <c r="J561" s="2">
        <v>25</v>
      </c>
    </row>
    <row r="562" spans="2:10" x14ac:dyDescent="0.25">
      <c r="B562" s="2">
        <v>559</v>
      </c>
      <c r="C562" s="6">
        <v>44927</v>
      </c>
      <c r="D562" s="2" t="s">
        <v>579</v>
      </c>
      <c r="E562" s="2" t="s">
        <v>20</v>
      </c>
      <c r="F562" s="2">
        <v>40</v>
      </c>
      <c r="G562" s="2" t="s">
        <v>21</v>
      </c>
      <c r="H562" s="2">
        <v>4</v>
      </c>
      <c r="I562" s="2">
        <v>300</v>
      </c>
      <c r="J562" s="2">
        <v>1200</v>
      </c>
    </row>
    <row r="563" spans="2:10" x14ac:dyDescent="0.25">
      <c r="B563" s="2">
        <v>560</v>
      </c>
      <c r="C563" s="6">
        <v>45082</v>
      </c>
      <c r="D563" s="2" t="s">
        <v>580</v>
      </c>
      <c r="E563" s="2" t="s">
        <v>20</v>
      </c>
      <c r="F563" s="2">
        <v>25</v>
      </c>
      <c r="G563" s="2" t="s">
        <v>23</v>
      </c>
      <c r="H563" s="2">
        <v>1</v>
      </c>
      <c r="I563" s="2">
        <v>50</v>
      </c>
      <c r="J563" s="2">
        <v>50</v>
      </c>
    </row>
    <row r="564" spans="2:10" x14ac:dyDescent="0.25">
      <c r="B564" s="2">
        <v>561</v>
      </c>
      <c r="C564" s="6">
        <v>45073</v>
      </c>
      <c r="D564" s="2" t="s">
        <v>581</v>
      </c>
      <c r="E564" s="2" t="s">
        <v>20</v>
      </c>
      <c r="F564" s="2">
        <v>64</v>
      </c>
      <c r="G564" s="2" t="s">
        <v>21</v>
      </c>
      <c r="H564" s="2">
        <v>4</v>
      </c>
      <c r="I564" s="2">
        <v>500</v>
      </c>
      <c r="J564" s="2">
        <v>2000</v>
      </c>
    </row>
    <row r="565" spans="2:10" x14ac:dyDescent="0.25">
      <c r="B565" s="2">
        <v>562</v>
      </c>
      <c r="C565" s="6">
        <v>45034</v>
      </c>
      <c r="D565" s="2" t="s">
        <v>582</v>
      </c>
      <c r="E565" s="2" t="s">
        <v>17</v>
      </c>
      <c r="F565" s="2">
        <v>54</v>
      </c>
      <c r="G565" s="2" t="s">
        <v>23</v>
      </c>
      <c r="H565" s="2">
        <v>2</v>
      </c>
      <c r="I565" s="2">
        <v>25</v>
      </c>
      <c r="J565" s="2">
        <v>50</v>
      </c>
    </row>
    <row r="566" spans="2:10" x14ac:dyDescent="0.25">
      <c r="B566" s="2">
        <v>563</v>
      </c>
      <c r="C566" s="6">
        <v>45147</v>
      </c>
      <c r="D566" s="2" t="s">
        <v>583</v>
      </c>
      <c r="E566" s="2" t="s">
        <v>17</v>
      </c>
      <c r="F566" s="2">
        <v>20</v>
      </c>
      <c r="G566" s="2" t="s">
        <v>21</v>
      </c>
      <c r="H566" s="2">
        <v>2</v>
      </c>
      <c r="I566" s="2">
        <v>30</v>
      </c>
      <c r="J566" s="2">
        <v>60</v>
      </c>
    </row>
    <row r="567" spans="2:10" x14ac:dyDescent="0.25">
      <c r="B567" s="2">
        <v>564</v>
      </c>
      <c r="C567" s="6">
        <v>45223</v>
      </c>
      <c r="D567" s="2" t="s">
        <v>584</v>
      </c>
      <c r="E567" s="2" t="s">
        <v>17</v>
      </c>
      <c r="F567" s="2">
        <v>50</v>
      </c>
      <c r="G567" s="2" t="s">
        <v>23</v>
      </c>
      <c r="H567" s="2">
        <v>2</v>
      </c>
      <c r="I567" s="2">
        <v>50</v>
      </c>
      <c r="J567" s="2">
        <v>100</v>
      </c>
    </row>
    <row r="568" spans="2:10" x14ac:dyDescent="0.25">
      <c r="B568" s="2">
        <v>565</v>
      </c>
      <c r="C568" s="6">
        <v>45237</v>
      </c>
      <c r="D568" s="2" t="s">
        <v>585</v>
      </c>
      <c r="E568" s="2" t="s">
        <v>20</v>
      </c>
      <c r="F568" s="2">
        <v>45</v>
      </c>
      <c r="G568" s="2" t="s">
        <v>18</v>
      </c>
      <c r="H568" s="2">
        <v>2</v>
      </c>
      <c r="I568" s="2">
        <v>30</v>
      </c>
      <c r="J568" s="2">
        <v>60</v>
      </c>
    </row>
    <row r="569" spans="2:10" x14ac:dyDescent="0.25">
      <c r="B569" s="2">
        <v>566</v>
      </c>
      <c r="C569" s="6">
        <v>45262</v>
      </c>
      <c r="D569" s="2" t="s">
        <v>586</v>
      </c>
      <c r="E569" s="2" t="s">
        <v>20</v>
      </c>
      <c r="F569" s="2">
        <v>64</v>
      </c>
      <c r="G569" s="2" t="s">
        <v>21</v>
      </c>
      <c r="H569" s="2">
        <v>1</v>
      </c>
      <c r="I569" s="2">
        <v>30</v>
      </c>
      <c r="J569" s="2">
        <v>30</v>
      </c>
    </row>
    <row r="570" spans="2:10" x14ac:dyDescent="0.25">
      <c r="B570" s="2">
        <v>567</v>
      </c>
      <c r="C570" s="6">
        <v>45091</v>
      </c>
      <c r="D570" s="2" t="s">
        <v>587</v>
      </c>
      <c r="E570" s="2" t="s">
        <v>20</v>
      </c>
      <c r="F570" s="2">
        <v>25</v>
      </c>
      <c r="G570" s="2" t="s">
        <v>21</v>
      </c>
      <c r="H570" s="2">
        <v>3</v>
      </c>
      <c r="I570" s="2">
        <v>300</v>
      </c>
      <c r="J570" s="2">
        <v>900</v>
      </c>
    </row>
    <row r="571" spans="2:10" x14ac:dyDescent="0.25">
      <c r="B571" s="2">
        <v>568</v>
      </c>
      <c r="C571" s="6">
        <v>45165</v>
      </c>
      <c r="D571" s="2" t="s">
        <v>588</v>
      </c>
      <c r="E571" s="2" t="s">
        <v>20</v>
      </c>
      <c r="F571" s="2">
        <v>51</v>
      </c>
      <c r="G571" s="2" t="s">
        <v>23</v>
      </c>
      <c r="H571" s="2">
        <v>1</v>
      </c>
      <c r="I571" s="2">
        <v>300</v>
      </c>
      <c r="J571" s="2">
        <v>300</v>
      </c>
    </row>
    <row r="572" spans="2:10" x14ac:dyDescent="0.25">
      <c r="B572" s="2">
        <v>569</v>
      </c>
      <c r="C572" s="6">
        <v>45153</v>
      </c>
      <c r="D572" s="2" t="s">
        <v>589</v>
      </c>
      <c r="E572" s="2" t="s">
        <v>17</v>
      </c>
      <c r="F572" s="2">
        <v>52</v>
      </c>
      <c r="G572" s="2" t="s">
        <v>23</v>
      </c>
      <c r="H572" s="2">
        <v>4</v>
      </c>
      <c r="I572" s="2">
        <v>50</v>
      </c>
      <c r="J572" s="2">
        <v>200</v>
      </c>
    </row>
    <row r="573" spans="2:10" x14ac:dyDescent="0.25">
      <c r="B573" s="2">
        <v>570</v>
      </c>
      <c r="C573" s="6">
        <v>45153</v>
      </c>
      <c r="D573" s="2" t="s">
        <v>590</v>
      </c>
      <c r="E573" s="2" t="s">
        <v>17</v>
      </c>
      <c r="F573" s="2">
        <v>49</v>
      </c>
      <c r="G573" s="2" t="s">
        <v>21</v>
      </c>
      <c r="H573" s="2">
        <v>1</v>
      </c>
      <c r="I573" s="2">
        <v>500</v>
      </c>
      <c r="J573" s="2">
        <v>500</v>
      </c>
    </row>
    <row r="574" spans="2:10" x14ac:dyDescent="0.25">
      <c r="B574" s="2">
        <v>571</v>
      </c>
      <c r="C574" s="6">
        <v>45272</v>
      </c>
      <c r="D574" s="2" t="s">
        <v>591</v>
      </c>
      <c r="E574" s="2" t="s">
        <v>20</v>
      </c>
      <c r="F574" s="2">
        <v>41</v>
      </c>
      <c r="G574" s="2" t="s">
        <v>23</v>
      </c>
      <c r="H574" s="2">
        <v>1</v>
      </c>
      <c r="I574" s="2">
        <v>50</v>
      </c>
      <c r="J574" s="2">
        <v>50</v>
      </c>
    </row>
    <row r="575" spans="2:10" x14ac:dyDescent="0.25">
      <c r="B575" s="2">
        <v>572</v>
      </c>
      <c r="C575" s="6">
        <v>45036</v>
      </c>
      <c r="D575" s="2" t="s">
        <v>592</v>
      </c>
      <c r="E575" s="2" t="s">
        <v>17</v>
      </c>
      <c r="F575" s="2">
        <v>31</v>
      </c>
      <c r="G575" s="2" t="s">
        <v>21</v>
      </c>
      <c r="H575" s="2">
        <v>4</v>
      </c>
      <c r="I575" s="2">
        <v>500</v>
      </c>
      <c r="J575" s="2">
        <v>2000</v>
      </c>
    </row>
    <row r="576" spans="2:10" x14ac:dyDescent="0.25">
      <c r="B576" s="2">
        <v>573</v>
      </c>
      <c r="C576" s="6">
        <v>45188</v>
      </c>
      <c r="D576" s="2" t="s">
        <v>593</v>
      </c>
      <c r="E576" s="2" t="s">
        <v>17</v>
      </c>
      <c r="F576" s="2">
        <v>49</v>
      </c>
      <c r="G576" s="2" t="s">
        <v>18</v>
      </c>
      <c r="H576" s="2">
        <v>2</v>
      </c>
      <c r="I576" s="2">
        <v>30</v>
      </c>
      <c r="J576" s="2">
        <v>60</v>
      </c>
    </row>
    <row r="577" spans="2:10" x14ac:dyDescent="0.25">
      <c r="B577" s="2">
        <v>574</v>
      </c>
      <c r="C577" s="6">
        <v>45169</v>
      </c>
      <c r="D577" s="2" t="s">
        <v>594</v>
      </c>
      <c r="E577" s="2" t="s">
        <v>20</v>
      </c>
      <c r="F577" s="2">
        <v>63</v>
      </c>
      <c r="G577" s="2" t="s">
        <v>23</v>
      </c>
      <c r="H577" s="2">
        <v>2</v>
      </c>
      <c r="I577" s="2">
        <v>25</v>
      </c>
      <c r="J577" s="2">
        <v>50</v>
      </c>
    </row>
    <row r="578" spans="2:10" x14ac:dyDescent="0.25">
      <c r="B578" s="2">
        <v>575</v>
      </c>
      <c r="C578" s="6">
        <v>45013</v>
      </c>
      <c r="D578" s="2" t="s">
        <v>595</v>
      </c>
      <c r="E578" s="2" t="s">
        <v>17</v>
      </c>
      <c r="F578" s="2">
        <v>60</v>
      </c>
      <c r="G578" s="2" t="s">
        <v>21</v>
      </c>
      <c r="H578" s="2">
        <v>2</v>
      </c>
      <c r="I578" s="2">
        <v>50</v>
      </c>
      <c r="J578" s="2">
        <v>100</v>
      </c>
    </row>
    <row r="579" spans="2:10" x14ac:dyDescent="0.25">
      <c r="B579" s="2">
        <v>576</v>
      </c>
      <c r="C579" s="6">
        <v>45264</v>
      </c>
      <c r="D579" s="2" t="s">
        <v>596</v>
      </c>
      <c r="E579" s="2" t="s">
        <v>20</v>
      </c>
      <c r="F579" s="2">
        <v>33</v>
      </c>
      <c r="G579" s="2" t="s">
        <v>18</v>
      </c>
      <c r="H579" s="2">
        <v>3</v>
      </c>
      <c r="I579" s="2">
        <v>50</v>
      </c>
      <c r="J579" s="2">
        <v>150</v>
      </c>
    </row>
    <row r="580" spans="2:10" x14ac:dyDescent="0.25">
      <c r="B580" s="2">
        <v>577</v>
      </c>
      <c r="C580" s="6">
        <v>44970</v>
      </c>
      <c r="D580" s="2" t="s">
        <v>597</v>
      </c>
      <c r="E580" s="2" t="s">
        <v>17</v>
      </c>
      <c r="F580" s="2">
        <v>21</v>
      </c>
      <c r="G580" s="2" t="s">
        <v>18</v>
      </c>
      <c r="H580" s="2">
        <v>4</v>
      </c>
      <c r="I580" s="2">
        <v>500</v>
      </c>
      <c r="J580" s="2">
        <v>2000</v>
      </c>
    </row>
    <row r="581" spans="2:10" x14ac:dyDescent="0.25">
      <c r="B581" s="2">
        <v>578</v>
      </c>
      <c r="C581" s="6">
        <v>45072</v>
      </c>
      <c r="D581" s="2" t="s">
        <v>598</v>
      </c>
      <c r="E581" s="2" t="s">
        <v>20</v>
      </c>
      <c r="F581" s="2">
        <v>54</v>
      </c>
      <c r="G581" s="2" t="s">
        <v>21</v>
      </c>
      <c r="H581" s="2">
        <v>4</v>
      </c>
      <c r="I581" s="2">
        <v>30</v>
      </c>
      <c r="J581" s="2">
        <v>120</v>
      </c>
    </row>
    <row r="582" spans="2:10" x14ac:dyDescent="0.25">
      <c r="B582" s="2">
        <v>579</v>
      </c>
      <c r="C582" s="6">
        <v>45190</v>
      </c>
      <c r="D582" s="2" t="s">
        <v>599</v>
      </c>
      <c r="E582" s="2" t="s">
        <v>20</v>
      </c>
      <c r="F582" s="2">
        <v>38</v>
      </c>
      <c r="G582" s="2" t="s">
        <v>23</v>
      </c>
      <c r="H582" s="2">
        <v>1</v>
      </c>
      <c r="I582" s="2">
        <v>30</v>
      </c>
      <c r="J582" s="2">
        <v>30</v>
      </c>
    </row>
    <row r="583" spans="2:10" x14ac:dyDescent="0.25">
      <c r="B583" s="2">
        <v>580</v>
      </c>
      <c r="C583" s="6">
        <v>45266</v>
      </c>
      <c r="D583" s="2" t="s">
        <v>600</v>
      </c>
      <c r="E583" s="2" t="s">
        <v>20</v>
      </c>
      <c r="F583" s="2">
        <v>31</v>
      </c>
      <c r="G583" s="2" t="s">
        <v>21</v>
      </c>
      <c r="H583" s="2">
        <v>3</v>
      </c>
      <c r="I583" s="2">
        <v>500</v>
      </c>
      <c r="J583" s="2">
        <v>1500</v>
      </c>
    </row>
    <row r="584" spans="2:10" x14ac:dyDescent="0.25">
      <c r="B584" s="2">
        <v>581</v>
      </c>
      <c r="C584" s="6">
        <v>45251</v>
      </c>
      <c r="D584" s="2" t="s">
        <v>601</v>
      </c>
      <c r="E584" s="2" t="s">
        <v>20</v>
      </c>
      <c r="F584" s="2">
        <v>48</v>
      </c>
      <c r="G584" s="2" t="s">
        <v>18</v>
      </c>
      <c r="H584" s="2">
        <v>2</v>
      </c>
      <c r="I584" s="2">
        <v>30</v>
      </c>
      <c r="J584" s="2">
        <v>60</v>
      </c>
    </row>
    <row r="585" spans="2:10" x14ac:dyDescent="0.25">
      <c r="B585" s="2">
        <v>582</v>
      </c>
      <c r="C585" s="6">
        <v>45244</v>
      </c>
      <c r="D585" s="2" t="s">
        <v>602</v>
      </c>
      <c r="E585" s="2" t="s">
        <v>17</v>
      </c>
      <c r="F585" s="2">
        <v>35</v>
      </c>
      <c r="G585" s="2" t="s">
        <v>21</v>
      </c>
      <c r="H585" s="2">
        <v>3</v>
      </c>
      <c r="I585" s="2">
        <v>300</v>
      </c>
      <c r="J585" s="2">
        <v>900</v>
      </c>
    </row>
    <row r="586" spans="2:10" x14ac:dyDescent="0.25">
      <c r="B586" s="2">
        <v>583</v>
      </c>
      <c r="C586" s="6">
        <v>45098</v>
      </c>
      <c r="D586" s="2" t="s">
        <v>603</v>
      </c>
      <c r="E586" s="2" t="s">
        <v>20</v>
      </c>
      <c r="F586" s="2">
        <v>24</v>
      </c>
      <c r="G586" s="2" t="s">
        <v>23</v>
      </c>
      <c r="H586" s="2">
        <v>4</v>
      </c>
      <c r="I586" s="2">
        <v>25</v>
      </c>
      <c r="J586" s="2">
        <v>100</v>
      </c>
    </row>
    <row r="587" spans="2:10" x14ac:dyDescent="0.25">
      <c r="B587" s="2">
        <v>584</v>
      </c>
      <c r="C587" s="6">
        <v>44974</v>
      </c>
      <c r="D587" s="2" t="s">
        <v>604</v>
      </c>
      <c r="E587" s="2" t="s">
        <v>20</v>
      </c>
      <c r="F587" s="2">
        <v>27</v>
      </c>
      <c r="G587" s="2" t="s">
        <v>18</v>
      </c>
      <c r="H587" s="2">
        <v>4</v>
      </c>
      <c r="I587" s="2">
        <v>50</v>
      </c>
      <c r="J587" s="2">
        <v>200</v>
      </c>
    </row>
    <row r="588" spans="2:10" x14ac:dyDescent="0.25">
      <c r="B588" s="2">
        <v>585</v>
      </c>
      <c r="C588" s="6">
        <v>45047</v>
      </c>
      <c r="D588" s="2" t="s">
        <v>605</v>
      </c>
      <c r="E588" s="2" t="s">
        <v>20</v>
      </c>
      <c r="F588" s="2">
        <v>24</v>
      </c>
      <c r="G588" s="2" t="s">
        <v>21</v>
      </c>
      <c r="H588" s="2">
        <v>1</v>
      </c>
      <c r="I588" s="2">
        <v>25</v>
      </c>
      <c r="J588" s="2">
        <v>25</v>
      </c>
    </row>
    <row r="589" spans="2:10" x14ac:dyDescent="0.25">
      <c r="B589" s="2">
        <v>586</v>
      </c>
      <c r="C589" s="6">
        <v>45271</v>
      </c>
      <c r="D589" s="2" t="s">
        <v>606</v>
      </c>
      <c r="E589" s="2" t="s">
        <v>17</v>
      </c>
      <c r="F589" s="2">
        <v>50</v>
      </c>
      <c r="G589" s="2" t="s">
        <v>23</v>
      </c>
      <c r="H589" s="2">
        <v>1</v>
      </c>
      <c r="I589" s="2">
        <v>50</v>
      </c>
      <c r="J589" s="2">
        <v>50</v>
      </c>
    </row>
    <row r="590" spans="2:10" x14ac:dyDescent="0.25">
      <c r="B590" s="2">
        <v>587</v>
      </c>
      <c r="C590" s="6">
        <v>45085</v>
      </c>
      <c r="D590" s="2" t="s">
        <v>607</v>
      </c>
      <c r="E590" s="2" t="s">
        <v>20</v>
      </c>
      <c r="F590" s="2">
        <v>40</v>
      </c>
      <c r="G590" s="2" t="s">
        <v>18</v>
      </c>
      <c r="H590" s="2">
        <v>4</v>
      </c>
      <c r="I590" s="2">
        <v>300</v>
      </c>
      <c r="J590" s="2">
        <v>1200</v>
      </c>
    </row>
    <row r="591" spans="2:10" x14ac:dyDescent="0.25">
      <c r="B591" s="2">
        <v>588</v>
      </c>
      <c r="C591" s="6">
        <v>45042</v>
      </c>
      <c r="D591" s="2" t="s">
        <v>608</v>
      </c>
      <c r="E591" s="2" t="s">
        <v>17</v>
      </c>
      <c r="F591" s="2">
        <v>38</v>
      </c>
      <c r="G591" s="2" t="s">
        <v>23</v>
      </c>
      <c r="H591" s="2">
        <v>2</v>
      </c>
      <c r="I591" s="2">
        <v>30</v>
      </c>
      <c r="J591" s="2">
        <v>60</v>
      </c>
    </row>
    <row r="592" spans="2:10" x14ac:dyDescent="0.25">
      <c r="B592" s="2">
        <v>589</v>
      </c>
      <c r="C592" s="6">
        <v>45028</v>
      </c>
      <c r="D592" s="2" t="s">
        <v>609</v>
      </c>
      <c r="E592" s="2" t="s">
        <v>20</v>
      </c>
      <c r="F592" s="2">
        <v>36</v>
      </c>
      <c r="G592" s="2" t="s">
        <v>18</v>
      </c>
      <c r="H592" s="2">
        <v>2</v>
      </c>
      <c r="I592" s="2">
        <v>500</v>
      </c>
      <c r="J592" s="2">
        <v>1000</v>
      </c>
    </row>
    <row r="593" spans="2:10" x14ac:dyDescent="0.25">
      <c r="B593" s="2">
        <v>590</v>
      </c>
      <c r="C593" s="6">
        <v>45002</v>
      </c>
      <c r="D593" s="2" t="s">
        <v>610</v>
      </c>
      <c r="E593" s="2" t="s">
        <v>17</v>
      </c>
      <c r="F593" s="2">
        <v>36</v>
      </c>
      <c r="G593" s="2" t="s">
        <v>21</v>
      </c>
      <c r="H593" s="2">
        <v>3</v>
      </c>
      <c r="I593" s="2">
        <v>300</v>
      </c>
      <c r="J593" s="2">
        <v>900</v>
      </c>
    </row>
    <row r="594" spans="2:10" x14ac:dyDescent="0.25">
      <c r="B594" s="2">
        <v>591</v>
      </c>
      <c r="C594" s="6">
        <v>44939</v>
      </c>
      <c r="D594" s="2" t="s">
        <v>611</v>
      </c>
      <c r="E594" s="2" t="s">
        <v>17</v>
      </c>
      <c r="F594" s="2">
        <v>53</v>
      </c>
      <c r="G594" s="2" t="s">
        <v>23</v>
      </c>
      <c r="H594" s="2">
        <v>4</v>
      </c>
      <c r="I594" s="2">
        <v>25</v>
      </c>
      <c r="J594" s="2">
        <v>100</v>
      </c>
    </row>
    <row r="595" spans="2:10" x14ac:dyDescent="0.25">
      <c r="B595" s="2">
        <v>592</v>
      </c>
      <c r="C595" s="6">
        <v>44950</v>
      </c>
      <c r="D595" s="2" t="s">
        <v>612</v>
      </c>
      <c r="E595" s="2" t="s">
        <v>20</v>
      </c>
      <c r="F595" s="2">
        <v>46</v>
      </c>
      <c r="G595" s="2" t="s">
        <v>18</v>
      </c>
      <c r="H595" s="2">
        <v>4</v>
      </c>
      <c r="I595" s="2">
        <v>500</v>
      </c>
      <c r="J595" s="2">
        <v>2000</v>
      </c>
    </row>
    <row r="596" spans="2:10" x14ac:dyDescent="0.25">
      <c r="B596" s="2">
        <v>593</v>
      </c>
      <c r="C596" s="6">
        <v>45052</v>
      </c>
      <c r="D596" s="2" t="s">
        <v>613</v>
      </c>
      <c r="E596" s="2" t="s">
        <v>17</v>
      </c>
      <c r="F596" s="2">
        <v>35</v>
      </c>
      <c r="G596" s="2" t="s">
        <v>23</v>
      </c>
      <c r="H596" s="2">
        <v>2</v>
      </c>
      <c r="I596" s="2">
        <v>30</v>
      </c>
      <c r="J596" s="2">
        <v>60</v>
      </c>
    </row>
    <row r="597" spans="2:10" x14ac:dyDescent="0.25">
      <c r="B597" s="2">
        <v>594</v>
      </c>
      <c r="C597" s="6">
        <v>45170</v>
      </c>
      <c r="D597" s="2" t="s">
        <v>614</v>
      </c>
      <c r="E597" s="2" t="s">
        <v>20</v>
      </c>
      <c r="F597" s="2">
        <v>19</v>
      </c>
      <c r="G597" s="2" t="s">
        <v>23</v>
      </c>
      <c r="H597" s="2">
        <v>2</v>
      </c>
      <c r="I597" s="2">
        <v>300</v>
      </c>
      <c r="J597" s="2">
        <v>600</v>
      </c>
    </row>
    <row r="598" spans="2:10" x14ac:dyDescent="0.25">
      <c r="B598" s="2">
        <v>595</v>
      </c>
      <c r="C598" s="6">
        <v>45239</v>
      </c>
      <c r="D598" s="2" t="s">
        <v>615</v>
      </c>
      <c r="E598" s="2" t="s">
        <v>20</v>
      </c>
      <c r="F598" s="2">
        <v>18</v>
      </c>
      <c r="G598" s="2" t="s">
        <v>21</v>
      </c>
      <c r="H598" s="2">
        <v>4</v>
      </c>
      <c r="I598" s="2">
        <v>500</v>
      </c>
      <c r="J598" s="2">
        <v>2000</v>
      </c>
    </row>
    <row r="599" spans="2:10" x14ac:dyDescent="0.25">
      <c r="B599" s="2">
        <v>596</v>
      </c>
      <c r="C599" s="6">
        <v>44964</v>
      </c>
      <c r="D599" s="2" t="s">
        <v>616</v>
      </c>
      <c r="E599" s="2" t="s">
        <v>20</v>
      </c>
      <c r="F599" s="2">
        <v>64</v>
      </c>
      <c r="G599" s="2" t="s">
        <v>23</v>
      </c>
      <c r="H599" s="2">
        <v>1</v>
      </c>
      <c r="I599" s="2">
        <v>300</v>
      </c>
      <c r="J599" s="2">
        <v>300</v>
      </c>
    </row>
    <row r="600" spans="2:10" x14ac:dyDescent="0.25">
      <c r="B600" s="2">
        <v>597</v>
      </c>
      <c r="C600" s="6">
        <v>45160</v>
      </c>
      <c r="D600" s="2" t="s">
        <v>617</v>
      </c>
      <c r="E600" s="2" t="s">
        <v>17</v>
      </c>
      <c r="F600" s="2">
        <v>22</v>
      </c>
      <c r="G600" s="2" t="s">
        <v>18</v>
      </c>
      <c r="H600" s="2">
        <v>4</v>
      </c>
      <c r="I600" s="2">
        <v>300</v>
      </c>
      <c r="J600" s="2">
        <v>1200</v>
      </c>
    </row>
    <row r="601" spans="2:10" x14ac:dyDescent="0.25">
      <c r="B601" s="2">
        <v>598</v>
      </c>
      <c r="C601" s="6">
        <v>45139</v>
      </c>
      <c r="D601" s="2" t="s">
        <v>618</v>
      </c>
      <c r="E601" s="2" t="s">
        <v>17</v>
      </c>
      <c r="F601" s="2">
        <v>37</v>
      </c>
      <c r="G601" s="2" t="s">
        <v>18</v>
      </c>
      <c r="H601" s="2">
        <v>4</v>
      </c>
      <c r="I601" s="2">
        <v>30</v>
      </c>
      <c r="J601" s="2">
        <v>120</v>
      </c>
    </row>
    <row r="602" spans="2:10" x14ac:dyDescent="0.25">
      <c r="B602" s="2">
        <v>599</v>
      </c>
      <c r="C602" s="6">
        <v>45249</v>
      </c>
      <c r="D602" s="2" t="s">
        <v>619</v>
      </c>
      <c r="E602" s="2" t="s">
        <v>20</v>
      </c>
      <c r="F602" s="2">
        <v>28</v>
      </c>
      <c r="G602" s="2" t="s">
        <v>18</v>
      </c>
      <c r="H602" s="2">
        <v>2</v>
      </c>
      <c r="I602" s="2">
        <v>50</v>
      </c>
      <c r="J602" s="2">
        <v>100</v>
      </c>
    </row>
    <row r="603" spans="2:10" x14ac:dyDescent="0.25">
      <c r="B603" s="2">
        <v>600</v>
      </c>
      <c r="C603" s="6">
        <v>45221</v>
      </c>
      <c r="D603" s="2" t="s">
        <v>620</v>
      </c>
      <c r="E603" s="2" t="s">
        <v>20</v>
      </c>
      <c r="F603" s="2">
        <v>59</v>
      </c>
      <c r="G603" s="2" t="s">
        <v>18</v>
      </c>
      <c r="H603" s="2">
        <v>2</v>
      </c>
      <c r="I603" s="2">
        <v>500</v>
      </c>
      <c r="J603" s="2">
        <v>1000</v>
      </c>
    </row>
    <row r="604" spans="2:10" x14ac:dyDescent="0.25">
      <c r="B604" s="2">
        <v>601</v>
      </c>
      <c r="C604" s="6">
        <v>45026</v>
      </c>
      <c r="D604" s="2" t="s">
        <v>621</v>
      </c>
      <c r="E604" s="2" t="s">
        <v>17</v>
      </c>
      <c r="F604" s="2">
        <v>19</v>
      </c>
      <c r="G604" s="2" t="s">
        <v>21</v>
      </c>
      <c r="H604" s="2">
        <v>1</v>
      </c>
      <c r="I604" s="2">
        <v>30</v>
      </c>
      <c r="J604" s="2">
        <v>30</v>
      </c>
    </row>
    <row r="605" spans="2:10" x14ac:dyDescent="0.25">
      <c r="B605" s="2">
        <v>602</v>
      </c>
      <c r="C605" s="6">
        <v>45283</v>
      </c>
      <c r="D605" s="2" t="s">
        <v>622</v>
      </c>
      <c r="E605" s="2" t="s">
        <v>20</v>
      </c>
      <c r="F605" s="2">
        <v>20</v>
      </c>
      <c r="G605" s="2" t="s">
        <v>23</v>
      </c>
      <c r="H605" s="2">
        <v>1</v>
      </c>
      <c r="I605" s="2">
        <v>300</v>
      </c>
      <c r="J605" s="2">
        <v>300</v>
      </c>
    </row>
    <row r="606" spans="2:10" x14ac:dyDescent="0.25">
      <c r="B606" s="2">
        <v>603</v>
      </c>
      <c r="C606" s="6">
        <v>45123</v>
      </c>
      <c r="D606" s="2" t="s">
        <v>623</v>
      </c>
      <c r="E606" s="2" t="s">
        <v>20</v>
      </c>
      <c r="F606" s="2">
        <v>40</v>
      </c>
      <c r="G606" s="2" t="s">
        <v>21</v>
      </c>
      <c r="H606" s="2">
        <v>3</v>
      </c>
      <c r="I606" s="2">
        <v>30</v>
      </c>
      <c r="J606" s="2">
        <v>90</v>
      </c>
    </row>
    <row r="607" spans="2:10" x14ac:dyDescent="0.25">
      <c r="B607" s="2">
        <v>604</v>
      </c>
      <c r="C607" s="6">
        <v>45180</v>
      </c>
      <c r="D607" s="2" t="s">
        <v>624</v>
      </c>
      <c r="E607" s="2" t="s">
        <v>20</v>
      </c>
      <c r="F607" s="2">
        <v>29</v>
      </c>
      <c r="G607" s="2" t="s">
        <v>23</v>
      </c>
      <c r="H607" s="2">
        <v>4</v>
      </c>
      <c r="I607" s="2">
        <v>50</v>
      </c>
      <c r="J607" s="2">
        <v>200</v>
      </c>
    </row>
    <row r="608" spans="2:10" x14ac:dyDescent="0.25">
      <c r="B608" s="2">
        <v>605</v>
      </c>
      <c r="C608" s="6">
        <v>45131</v>
      </c>
      <c r="D608" s="2" t="s">
        <v>625</v>
      </c>
      <c r="E608" s="2" t="s">
        <v>17</v>
      </c>
      <c r="F608" s="2">
        <v>37</v>
      </c>
      <c r="G608" s="2" t="s">
        <v>23</v>
      </c>
      <c r="H608" s="2">
        <v>2</v>
      </c>
      <c r="I608" s="2">
        <v>500</v>
      </c>
      <c r="J608" s="2">
        <v>1000</v>
      </c>
    </row>
    <row r="609" spans="2:10" x14ac:dyDescent="0.25">
      <c r="B609" s="2">
        <v>606</v>
      </c>
      <c r="C609" s="6">
        <v>45051</v>
      </c>
      <c r="D609" s="2" t="s">
        <v>626</v>
      </c>
      <c r="E609" s="2" t="s">
        <v>17</v>
      </c>
      <c r="F609" s="2">
        <v>22</v>
      </c>
      <c r="G609" s="2" t="s">
        <v>23</v>
      </c>
      <c r="H609" s="2">
        <v>1</v>
      </c>
      <c r="I609" s="2">
        <v>50</v>
      </c>
      <c r="J609" s="2">
        <v>50</v>
      </c>
    </row>
    <row r="610" spans="2:10" x14ac:dyDescent="0.25">
      <c r="B610" s="2">
        <v>607</v>
      </c>
      <c r="C610" s="6">
        <v>45002</v>
      </c>
      <c r="D610" s="2" t="s">
        <v>627</v>
      </c>
      <c r="E610" s="2" t="s">
        <v>17</v>
      </c>
      <c r="F610" s="2">
        <v>54</v>
      </c>
      <c r="G610" s="2" t="s">
        <v>21</v>
      </c>
      <c r="H610" s="2">
        <v>3</v>
      </c>
      <c r="I610" s="2">
        <v>25</v>
      </c>
      <c r="J610" s="2">
        <v>75</v>
      </c>
    </row>
    <row r="611" spans="2:10" x14ac:dyDescent="0.25">
      <c r="B611" s="2">
        <v>608</v>
      </c>
      <c r="C611" s="6">
        <v>45262</v>
      </c>
      <c r="D611" s="2" t="s">
        <v>628</v>
      </c>
      <c r="E611" s="2" t="s">
        <v>20</v>
      </c>
      <c r="F611" s="2">
        <v>55</v>
      </c>
      <c r="G611" s="2" t="s">
        <v>23</v>
      </c>
      <c r="H611" s="2">
        <v>3</v>
      </c>
      <c r="I611" s="2">
        <v>500</v>
      </c>
      <c r="J611" s="2">
        <v>1500</v>
      </c>
    </row>
    <row r="612" spans="2:10" x14ac:dyDescent="0.25">
      <c r="B612" s="2">
        <v>609</v>
      </c>
      <c r="C612" s="6">
        <v>45279</v>
      </c>
      <c r="D612" s="2" t="s">
        <v>629</v>
      </c>
      <c r="E612" s="2" t="s">
        <v>20</v>
      </c>
      <c r="F612" s="2">
        <v>47</v>
      </c>
      <c r="G612" s="2" t="s">
        <v>21</v>
      </c>
      <c r="H612" s="2">
        <v>2</v>
      </c>
      <c r="I612" s="2">
        <v>50</v>
      </c>
      <c r="J612" s="2">
        <v>100</v>
      </c>
    </row>
    <row r="613" spans="2:10" x14ac:dyDescent="0.25">
      <c r="B613" s="2">
        <v>610</v>
      </c>
      <c r="C613" s="6">
        <v>44929</v>
      </c>
      <c r="D613" s="2" t="s">
        <v>630</v>
      </c>
      <c r="E613" s="2" t="s">
        <v>20</v>
      </c>
      <c r="F613" s="2">
        <v>26</v>
      </c>
      <c r="G613" s="2" t="s">
        <v>18</v>
      </c>
      <c r="H613" s="2">
        <v>2</v>
      </c>
      <c r="I613" s="2">
        <v>300</v>
      </c>
      <c r="J613" s="2">
        <v>600</v>
      </c>
    </row>
    <row r="614" spans="2:10" x14ac:dyDescent="0.25">
      <c r="B614" s="2">
        <v>611</v>
      </c>
      <c r="C614" s="6">
        <v>44981</v>
      </c>
      <c r="D614" s="2" t="s">
        <v>631</v>
      </c>
      <c r="E614" s="2" t="s">
        <v>17</v>
      </c>
      <c r="F614" s="2">
        <v>51</v>
      </c>
      <c r="G614" s="2" t="s">
        <v>18</v>
      </c>
      <c r="H614" s="2">
        <v>3</v>
      </c>
      <c r="I614" s="2">
        <v>500</v>
      </c>
      <c r="J614" s="2">
        <v>1500</v>
      </c>
    </row>
    <row r="615" spans="2:10" x14ac:dyDescent="0.25">
      <c r="B615" s="2">
        <v>612</v>
      </c>
      <c r="C615" s="6">
        <v>45144</v>
      </c>
      <c r="D615" s="2" t="s">
        <v>632</v>
      </c>
      <c r="E615" s="2" t="s">
        <v>20</v>
      </c>
      <c r="F615" s="2">
        <v>61</v>
      </c>
      <c r="G615" s="2" t="s">
        <v>23</v>
      </c>
      <c r="H615" s="2">
        <v>1</v>
      </c>
      <c r="I615" s="2">
        <v>500</v>
      </c>
      <c r="J615" s="2">
        <v>500</v>
      </c>
    </row>
    <row r="616" spans="2:10" x14ac:dyDescent="0.25">
      <c r="B616" s="2">
        <v>613</v>
      </c>
      <c r="C616" s="6">
        <v>45039</v>
      </c>
      <c r="D616" s="2" t="s">
        <v>633</v>
      </c>
      <c r="E616" s="2" t="s">
        <v>20</v>
      </c>
      <c r="F616" s="2">
        <v>52</v>
      </c>
      <c r="G616" s="2" t="s">
        <v>21</v>
      </c>
      <c r="H616" s="2">
        <v>3</v>
      </c>
      <c r="I616" s="2">
        <v>30</v>
      </c>
      <c r="J616" s="2">
        <v>90</v>
      </c>
    </row>
    <row r="617" spans="2:10" x14ac:dyDescent="0.25">
      <c r="B617" s="2">
        <v>614</v>
      </c>
      <c r="C617" s="6">
        <v>45017</v>
      </c>
      <c r="D617" s="2" t="s">
        <v>634</v>
      </c>
      <c r="E617" s="2" t="s">
        <v>20</v>
      </c>
      <c r="F617" s="2">
        <v>39</v>
      </c>
      <c r="G617" s="2" t="s">
        <v>18</v>
      </c>
      <c r="H617" s="2">
        <v>4</v>
      </c>
      <c r="I617" s="2">
        <v>300</v>
      </c>
      <c r="J617" s="2">
        <v>1200</v>
      </c>
    </row>
    <row r="618" spans="2:10" x14ac:dyDescent="0.25">
      <c r="B618" s="2">
        <v>615</v>
      </c>
      <c r="C618" s="6">
        <v>45283</v>
      </c>
      <c r="D618" s="2" t="s">
        <v>635</v>
      </c>
      <c r="E618" s="2" t="s">
        <v>20</v>
      </c>
      <c r="F618" s="2">
        <v>61</v>
      </c>
      <c r="G618" s="2" t="s">
        <v>21</v>
      </c>
      <c r="H618" s="2">
        <v>4</v>
      </c>
      <c r="I618" s="2">
        <v>25</v>
      </c>
      <c r="J618" s="2">
        <v>100</v>
      </c>
    </row>
    <row r="619" spans="2:10" x14ac:dyDescent="0.25">
      <c r="B619" s="2">
        <v>616</v>
      </c>
      <c r="C619" s="6">
        <v>45192</v>
      </c>
      <c r="D619" s="2" t="s">
        <v>636</v>
      </c>
      <c r="E619" s="2" t="s">
        <v>17</v>
      </c>
      <c r="F619" s="2">
        <v>41</v>
      </c>
      <c r="G619" s="2" t="s">
        <v>21</v>
      </c>
      <c r="H619" s="2">
        <v>2</v>
      </c>
      <c r="I619" s="2">
        <v>50</v>
      </c>
      <c r="J619" s="2">
        <v>100</v>
      </c>
    </row>
    <row r="620" spans="2:10" x14ac:dyDescent="0.25">
      <c r="B620" s="2">
        <v>617</v>
      </c>
      <c r="C620" s="6">
        <v>45164</v>
      </c>
      <c r="D620" s="2" t="s">
        <v>637</v>
      </c>
      <c r="E620" s="2" t="s">
        <v>17</v>
      </c>
      <c r="F620" s="2">
        <v>34</v>
      </c>
      <c r="G620" s="2" t="s">
        <v>23</v>
      </c>
      <c r="H620" s="2">
        <v>1</v>
      </c>
      <c r="I620" s="2">
        <v>30</v>
      </c>
      <c r="J620" s="2">
        <v>30</v>
      </c>
    </row>
    <row r="621" spans="2:10" x14ac:dyDescent="0.25">
      <c r="B621" s="2">
        <v>618</v>
      </c>
      <c r="C621" s="6">
        <v>44952</v>
      </c>
      <c r="D621" s="2" t="s">
        <v>638</v>
      </c>
      <c r="E621" s="2" t="s">
        <v>20</v>
      </c>
      <c r="F621" s="2">
        <v>27</v>
      </c>
      <c r="G621" s="2" t="s">
        <v>18</v>
      </c>
      <c r="H621" s="2">
        <v>1</v>
      </c>
      <c r="I621" s="2">
        <v>50</v>
      </c>
      <c r="J621" s="2">
        <v>50</v>
      </c>
    </row>
    <row r="622" spans="2:10" x14ac:dyDescent="0.25">
      <c r="B622" s="2">
        <v>619</v>
      </c>
      <c r="C622" s="6">
        <v>45212</v>
      </c>
      <c r="D622" s="2" t="s">
        <v>639</v>
      </c>
      <c r="E622" s="2" t="s">
        <v>17</v>
      </c>
      <c r="F622" s="2">
        <v>47</v>
      </c>
      <c r="G622" s="2" t="s">
        <v>23</v>
      </c>
      <c r="H622" s="2">
        <v>4</v>
      </c>
      <c r="I622" s="2">
        <v>25</v>
      </c>
      <c r="J622" s="2">
        <v>100</v>
      </c>
    </row>
    <row r="623" spans="2:10" x14ac:dyDescent="0.25">
      <c r="B623" s="2">
        <v>620</v>
      </c>
      <c r="C623" s="6">
        <v>45054</v>
      </c>
      <c r="D623" s="2" t="s">
        <v>640</v>
      </c>
      <c r="E623" s="2" t="s">
        <v>17</v>
      </c>
      <c r="F623" s="2">
        <v>63</v>
      </c>
      <c r="G623" s="2" t="s">
        <v>23</v>
      </c>
      <c r="H623" s="2">
        <v>3</v>
      </c>
      <c r="I623" s="2">
        <v>25</v>
      </c>
      <c r="J623" s="2">
        <v>75</v>
      </c>
    </row>
    <row r="624" spans="2:10" x14ac:dyDescent="0.25">
      <c r="B624" s="2">
        <v>621</v>
      </c>
      <c r="C624" s="6">
        <v>44989</v>
      </c>
      <c r="D624" s="2" t="s">
        <v>641</v>
      </c>
      <c r="E624" s="2" t="s">
        <v>20</v>
      </c>
      <c r="F624" s="2">
        <v>40</v>
      </c>
      <c r="G624" s="2" t="s">
        <v>18</v>
      </c>
      <c r="H624" s="2">
        <v>2</v>
      </c>
      <c r="I624" s="2">
        <v>500</v>
      </c>
      <c r="J624" s="2">
        <v>1000</v>
      </c>
    </row>
    <row r="625" spans="2:10" x14ac:dyDescent="0.25">
      <c r="B625" s="2">
        <v>622</v>
      </c>
      <c r="C625" s="6">
        <v>45160</v>
      </c>
      <c r="D625" s="2" t="s">
        <v>642</v>
      </c>
      <c r="E625" s="2" t="s">
        <v>20</v>
      </c>
      <c r="F625" s="2">
        <v>49</v>
      </c>
      <c r="G625" s="2" t="s">
        <v>18</v>
      </c>
      <c r="H625" s="2">
        <v>3</v>
      </c>
      <c r="I625" s="2">
        <v>25</v>
      </c>
      <c r="J625" s="2">
        <v>75</v>
      </c>
    </row>
    <row r="626" spans="2:10" x14ac:dyDescent="0.25">
      <c r="B626" s="2">
        <v>623</v>
      </c>
      <c r="C626" s="6">
        <v>44995</v>
      </c>
      <c r="D626" s="2" t="s">
        <v>643</v>
      </c>
      <c r="E626" s="2" t="s">
        <v>17</v>
      </c>
      <c r="F626" s="2">
        <v>34</v>
      </c>
      <c r="G626" s="2" t="s">
        <v>21</v>
      </c>
      <c r="H626" s="2">
        <v>3</v>
      </c>
      <c r="I626" s="2">
        <v>50</v>
      </c>
      <c r="J626" s="2">
        <v>150</v>
      </c>
    </row>
    <row r="627" spans="2:10" x14ac:dyDescent="0.25">
      <c r="B627" s="2">
        <v>624</v>
      </c>
      <c r="C627" s="6">
        <v>45164</v>
      </c>
      <c r="D627" s="2" t="s">
        <v>644</v>
      </c>
      <c r="E627" s="2" t="s">
        <v>20</v>
      </c>
      <c r="F627" s="2">
        <v>34</v>
      </c>
      <c r="G627" s="2" t="s">
        <v>18</v>
      </c>
      <c r="H627" s="2">
        <v>3</v>
      </c>
      <c r="I627" s="2">
        <v>300</v>
      </c>
      <c r="J627" s="2">
        <v>900</v>
      </c>
    </row>
    <row r="628" spans="2:10" x14ac:dyDescent="0.25">
      <c r="B628" s="2">
        <v>625</v>
      </c>
      <c r="C628" s="6">
        <v>45268</v>
      </c>
      <c r="D628" s="2" t="s">
        <v>645</v>
      </c>
      <c r="E628" s="2" t="s">
        <v>17</v>
      </c>
      <c r="F628" s="2">
        <v>31</v>
      </c>
      <c r="G628" s="2" t="s">
        <v>21</v>
      </c>
      <c r="H628" s="2">
        <v>1</v>
      </c>
      <c r="I628" s="2">
        <v>300</v>
      </c>
      <c r="J628" s="2">
        <v>300</v>
      </c>
    </row>
    <row r="629" spans="2:10" x14ac:dyDescent="0.25">
      <c r="B629" s="2">
        <v>626</v>
      </c>
      <c r="C629" s="6">
        <v>45198</v>
      </c>
      <c r="D629" s="2" t="s">
        <v>646</v>
      </c>
      <c r="E629" s="2" t="s">
        <v>20</v>
      </c>
      <c r="F629" s="2">
        <v>26</v>
      </c>
      <c r="G629" s="2" t="s">
        <v>21</v>
      </c>
      <c r="H629" s="2">
        <v>4</v>
      </c>
      <c r="I629" s="2">
        <v>500</v>
      </c>
      <c r="J629" s="2">
        <v>2000</v>
      </c>
    </row>
    <row r="630" spans="2:10" x14ac:dyDescent="0.25">
      <c r="B630" s="2">
        <v>627</v>
      </c>
      <c r="C630" s="6">
        <v>45213</v>
      </c>
      <c r="D630" s="2" t="s">
        <v>647</v>
      </c>
      <c r="E630" s="2" t="s">
        <v>17</v>
      </c>
      <c r="F630" s="2">
        <v>57</v>
      </c>
      <c r="G630" s="2" t="s">
        <v>21</v>
      </c>
      <c r="H630" s="2">
        <v>1</v>
      </c>
      <c r="I630" s="2">
        <v>50</v>
      </c>
      <c r="J630" s="2">
        <v>50</v>
      </c>
    </row>
    <row r="631" spans="2:10" x14ac:dyDescent="0.25">
      <c r="B631" s="2">
        <v>628</v>
      </c>
      <c r="C631" s="6">
        <v>45231</v>
      </c>
      <c r="D631" s="2" t="s">
        <v>648</v>
      </c>
      <c r="E631" s="2" t="s">
        <v>20</v>
      </c>
      <c r="F631" s="2">
        <v>19</v>
      </c>
      <c r="G631" s="2" t="s">
        <v>18</v>
      </c>
      <c r="H631" s="2">
        <v>4</v>
      </c>
      <c r="I631" s="2">
        <v>50</v>
      </c>
      <c r="J631" s="2">
        <v>200</v>
      </c>
    </row>
    <row r="632" spans="2:10" x14ac:dyDescent="0.25">
      <c r="B632" s="2">
        <v>629</v>
      </c>
      <c r="C632" s="6">
        <v>45089</v>
      </c>
      <c r="D632" s="2" t="s">
        <v>649</v>
      </c>
      <c r="E632" s="2" t="s">
        <v>17</v>
      </c>
      <c r="F632" s="2">
        <v>62</v>
      </c>
      <c r="G632" s="2" t="s">
        <v>23</v>
      </c>
      <c r="H632" s="2">
        <v>2</v>
      </c>
      <c r="I632" s="2">
        <v>25</v>
      </c>
      <c r="J632" s="2">
        <v>50</v>
      </c>
    </row>
    <row r="633" spans="2:10" x14ac:dyDescent="0.25">
      <c r="B633" s="2">
        <v>630</v>
      </c>
      <c r="C633" s="6">
        <v>45153</v>
      </c>
      <c r="D633" s="2" t="s">
        <v>650</v>
      </c>
      <c r="E633" s="2" t="s">
        <v>17</v>
      </c>
      <c r="F633" s="2">
        <v>42</v>
      </c>
      <c r="G633" s="2" t="s">
        <v>21</v>
      </c>
      <c r="H633" s="2">
        <v>2</v>
      </c>
      <c r="I633" s="2">
        <v>50</v>
      </c>
      <c r="J633" s="2">
        <v>100</v>
      </c>
    </row>
    <row r="634" spans="2:10" x14ac:dyDescent="0.25">
      <c r="B634" s="2">
        <v>631</v>
      </c>
      <c r="C634" s="6">
        <v>45240</v>
      </c>
      <c r="D634" s="2" t="s">
        <v>651</v>
      </c>
      <c r="E634" s="2" t="s">
        <v>17</v>
      </c>
      <c r="F634" s="2">
        <v>56</v>
      </c>
      <c r="G634" s="2" t="s">
        <v>23</v>
      </c>
      <c r="H634" s="2">
        <v>3</v>
      </c>
      <c r="I634" s="2">
        <v>30</v>
      </c>
      <c r="J634" s="2">
        <v>90</v>
      </c>
    </row>
    <row r="635" spans="2:10" x14ac:dyDescent="0.25">
      <c r="B635" s="2">
        <v>632</v>
      </c>
      <c r="C635" s="6">
        <v>45185</v>
      </c>
      <c r="D635" s="2" t="s">
        <v>652</v>
      </c>
      <c r="E635" s="2" t="s">
        <v>20</v>
      </c>
      <c r="F635" s="2">
        <v>26</v>
      </c>
      <c r="G635" s="2" t="s">
        <v>23</v>
      </c>
      <c r="H635" s="2">
        <v>4</v>
      </c>
      <c r="I635" s="2">
        <v>25</v>
      </c>
      <c r="J635" s="2">
        <v>100</v>
      </c>
    </row>
    <row r="636" spans="2:10" x14ac:dyDescent="0.25">
      <c r="B636" s="2">
        <v>633</v>
      </c>
      <c r="C636" s="6">
        <v>45145</v>
      </c>
      <c r="D636" s="2" t="s">
        <v>653</v>
      </c>
      <c r="E636" s="2" t="s">
        <v>17</v>
      </c>
      <c r="F636" s="2">
        <v>39</v>
      </c>
      <c r="G636" s="2" t="s">
        <v>18</v>
      </c>
      <c r="H636" s="2">
        <v>4</v>
      </c>
      <c r="I636" s="2">
        <v>30</v>
      </c>
      <c r="J636" s="2">
        <v>120</v>
      </c>
    </row>
    <row r="637" spans="2:10" x14ac:dyDescent="0.25">
      <c r="B637" s="2">
        <v>634</v>
      </c>
      <c r="C637" s="6">
        <v>45207</v>
      </c>
      <c r="D637" s="2" t="s">
        <v>654</v>
      </c>
      <c r="E637" s="2" t="s">
        <v>17</v>
      </c>
      <c r="F637" s="2">
        <v>60</v>
      </c>
      <c r="G637" s="2" t="s">
        <v>23</v>
      </c>
      <c r="H637" s="2">
        <v>4</v>
      </c>
      <c r="I637" s="2">
        <v>500</v>
      </c>
      <c r="J637" s="2">
        <v>2000</v>
      </c>
    </row>
    <row r="638" spans="2:10" x14ac:dyDescent="0.25">
      <c r="B638" s="2">
        <v>635</v>
      </c>
      <c r="C638" s="6">
        <v>45155</v>
      </c>
      <c r="D638" s="2" t="s">
        <v>655</v>
      </c>
      <c r="E638" s="2" t="s">
        <v>20</v>
      </c>
      <c r="F638" s="2">
        <v>63</v>
      </c>
      <c r="G638" s="2" t="s">
        <v>23</v>
      </c>
      <c r="H638" s="2">
        <v>3</v>
      </c>
      <c r="I638" s="2">
        <v>300</v>
      </c>
      <c r="J638" s="2">
        <v>900</v>
      </c>
    </row>
    <row r="639" spans="2:10" x14ac:dyDescent="0.25">
      <c r="B639" s="2">
        <v>636</v>
      </c>
      <c r="C639" s="6">
        <v>45008</v>
      </c>
      <c r="D639" s="2" t="s">
        <v>656</v>
      </c>
      <c r="E639" s="2" t="s">
        <v>20</v>
      </c>
      <c r="F639" s="2">
        <v>21</v>
      </c>
      <c r="G639" s="2" t="s">
        <v>18</v>
      </c>
      <c r="H639" s="2">
        <v>3</v>
      </c>
      <c r="I639" s="2">
        <v>500</v>
      </c>
      <c r="J639" s="2">
        <v>1500</v>
      </c>
    </row>
    <row r="640" spans="2:10" x14ac:dyDescent="0.25">
      <c r="B640" s="2">
        <v>637</v>
      </c>
      <c r="C640" s="6">
        <v>45170</v>
      </c>
      <c r="D640" s="2" t="s">
        <v>657</v>
      </c>
      <c r="E640" s="2" t="s">
        <v>17</v>
      </c>
      <c r="F640" s="2">
        <v>43</v>
      </c>
      <c r="G640" s="2" t="s">
        <v>21</v>
      </c>
      <c r="H640" s="2">
        <v>2</v>
      </c>
      <c r="I640" s="2">
        <v>300</v>
      </c>
      <c r="J640" s="2">
        <v>600</v>
      </c>
    </row>
    <row r="641" spans="2:10" x14ac:dyDescent="0.25">
      <c r="B641" s="2">
        <v>638</v>
      </c>
      <c r="C641" s="6">
        <v>45157</v>
      </c>
      <c r="D641" s="2" t="s">
        <v>658</v>
      </c>
      <c r="E641" s="2" t="s">
        <v>17</v>
      </c>
      <c r="F641" s="2">
        <v>46</v>
      </c>
      <c r="G641" s="2" t="s">
        <v>23</v>
      </c>
      <c r="H641" s="2">
        <v>1</v>
      </c>
      <c r="I641" s="2">
        <v>500</v>
      </c>
      <c r="J641" s="2">
        <v>500</v>
      </c>
    </row>
    <row r="642" spans="2:10" x14ac:dyDescent="0.25">
      <c r="B642" s="2">
        <v>639</v>
      </c>
      <c r="C642" s="6">
        <v>45059</v>
      </c>
      <c r="D642" s="2" t="s">
        <v>659</v>
      </c>
      <c r="E642" s="2" t="s">
        <v>20</v>
      </c>
      <c r="F642" s="2">
        <v>62</v>
      </c>
      <c r="G642" s="2" t="s">
        <v>18</v>
      </c>
      <c r="H642" s="2">
        <v>4</v>
      </c>
      <c r="I642" s="2">
        <v>50</v>
      </c>
      <c r="J642" s="2">
        <v>200</v>
      </c>
    </row>
    <row r="643" spans="2:10" x14ac:dyDescent="0.25">
      <c r="B643" s="2">
        <v>640</v>
      </c>
      <c r="C643" s="6">
        <v>45053</v>
      </c>
      <c r="D643" s="2" t="s">
        <v>660</v>
      </c>
      <c r="E643" s="2" t="s">
        <v>20</v>
      </c>
      <c r="F643" s="2">
        <v>51</v>
      </c>
      <c r="G643" s="2" t="s">
        <v>23</v>
      </c>
      <c r="H643" s="2">
        <v>4</v>
      </c>
      <c r="I643" s="2">
        <v>30</v>
      </c>
      <c r="J643" s="2">
        <v>120</v>
      </c>
    </row>
    <row r="644" spans="2:10" x14ac:dyDescent="0.25">
      <c r="B644" s="2">
        <v>641</v>
      </c>
      <c r="C644" s="6">
        <v>45253</v>
      </c>
      <c r="D644" s="2" t="s">
        <v>661</v>
      </c>
      <c r="E644" s="2" t="s">
        <v>20</v>
      </c>
      <c r="F644" s="2">
        <v>40</v>
      </c>
      <c r="G644" s="2" t="s">
        <v>23</v>
      </c>
      <c r="H644" s="2">
        <v>1</v>
      </c>
      <c r="I644" s="2">
        <v>300</v>
      </c>
      <c r="J644" s="2">
        <v>300</v>
      </c>
    </row>
    <row r="645" spans="2:10" x14ac:dyDescent="0.25">
      <c r="B645" s="2">
        <v>642</v>
      </c>
      <c r="C645" s="6">
        <v>45068</v>
      </c>
      <c r="D645" s="2" t="s">
        <v>662</v>
      </c>
      <c r="E645" s="2" t="s">
        <v>20</v>
      </c>
      <c r="F645" s="2">
        <v>54</v>
      </c>
      <c r="G645" s="2" t="s">
        <v>21</v>
      </c>
      <c r="H645" s="2">
        <v>4</v>
      </c>
      <c r="I645" s="2">
        <v>25</v>
      </c>
      <c r="J645" s="2">
        <v>100</v>
      </c>
    </row>
    <row r="646" spans="2:10" x14ac:dyDescent="0.25">
      <c r="B646" s="2">
        <v>643</v>
      </c>
      <c r="C646" s="6">
        <v>45193</v>
      </c>
      <c r="D646" s="2" t="s">
        <v>663</v>
      </c>
      <c r="E646" s="2" t="s">
        <v>20</v>
      </c>
      <c r="F646" s="2">
        <v>28</v>
      </c>
      <c r="G646" s="2" t="s">
        <v>23</v>
      </c>
      <c r="H646" s="2">
        <v>3</v>
      </c>
      <c r="I646" s="2">
        <v>30</v>
      </c>
      <c r="J646" s="2">
        <v>90</v>
      </c>
    </row>
    <row r="647" spans="2:10" x14ac:dyDescent="0.25">
      <c r="B647" s="2">
        <v>644</v>
      </c>
      <c r="C647" s="6">
        <v>45175</v>
      </c>
      <c r="D647" s="2" t="s">
        <v>664</v>
      </c>
      <c r="E647" s="2" t="s">
        <v>17</v>
      </c>
      <c r="F647" s="2">
        <v>23</v>
      </c>
      <c r="G647" s="2" t="s">
        <v>18</v>
      </c>
      <c r="H647" s="2">
        <v>3</v>
      </c>
      <c r="I647" s="2">
        <v>25</v>
      </c>
      <c r="J647" s="2">
        <v>75</v>
      </c>
    </row>
    <row r="648" spans="2:10" x14ac:dyDescent="0.25">
      <c r="B648" s="2">
        <v>645</v>
      </c>
      <c r="C648" s="6">
        <v>45247</v>
      </c>
      <c r="D648" s="2" t="s">
        <v>665</v>
      </c>
      <c r="E648" s="2" t="s">
        <v>20</v>
      </c>
      <c r="F648" s="2">
        <v>35</v>
      </c>
      <c r="G648" s="2" t="s">
        <v>23</v>
      </c>
      <c r="H648" s="2">
        <v>4</v>
      </c>
      <c r="I648" s="2">
        <v>30</v>
      </c>
      <c r="J648" s="2">
        <v>120</v>
      </c>
    </row>
    <row r="649" spans="2:10" x14ac:dyDescent="0.25">
      <c r="B649" s="2">
        <v>646</v>
      </c>
      <c r="C649" s="6">
        <v>45049</v>
      </c>
      <c r="D649" s="2" t="s">
        <v>666</v>
      </c>
      <c r="E649" s="2" t="s">
        <v>17</v>
      </c>
      <c r="F649" s="2">
        <v>38</v>
      </c>
      <c r="G649" s="2" t="s">
        <v>21</v>
      </c>
      <c r="H649" s="2">
        <v>3</v>
      </c>
      <c r="I649" s="2">
        <v>30</v>
      </c>
      <c r="J649" s="2">
        <v>90</v>
      </c>
    </row>
    <row r="650" spans="2:10" x14ac:dyDescent="0.25">
      <c r="B650" s="2">
        <v>647</v>
      </c>
      <c r="C650" s="6">
        <v>45067</v>
      </c>
      <c r="D650" s="2" t="s">
        <v>667</v>
      </c>
      <c r="E650" s="2" t="s">
        <v>17</v>
      </c>
      <c r="F650" s="2">
        <v>59</v>
      </c>
      <c r="G650" s="2" t="s">
        <v>21</v>
      </c>
      <c r="H650" s="2">
        <v>3</v>
      </c>
      <c r="I650" s="2">
        <v>500</v>
      </c>
      <c r="J650" s="2">
        <v>1500</v>
      </c>
    </row>
    <row r="651" spans="2:10" x14ac:dyDescent="0.25">
      <c r="B651" s="2">
        <v>648</v>
      </c>
      <c r="C651" s="6">
        <v>45152</v>
      </c>
      <c r="D651" s="2" t="s">
        <v>668</v>
      </c>
      <c r="E651" s="2" t="s">
        <v>17</v>
      </c>
      <c r="F651" s="2">
        <v>53</v>
      </c>
      <c r="G651" s="2" t="s">
        <v>18</v>
      </c>
      <c r="H651" s="2">
        <v>4</v>
      </c>
      <c r="I651" s="2">
        <v>300</v>
      </c>
      <c r="J651" s="2">
        <v>1200</v>
      </c>
    </row>
    <row r="652" spans="2:10" x14ac:dyDescent="0.25">
      <c r="B652" s="2">
        <v>649</v>
      </c>
      <c r="C652" s="6">
        <v>44966</v>
      </c>
      <c r="D652" s="2" t="s">
        <v>669</v>
      </c>
      <c r="E652" s="2" t="s">
        <v>20</v>
      </c>
      <c r="F652" s="2">
        <v>58</v>
      </c>
      <c r="G652" s="2" t="s">
        <v>21</v>
      </c>
      <c r="H652" s="2">
        <v>2</v>
      </c>
      <c r="I652" s="2">
        <v>300</v>
      </c>
      <c r="J652" s="2">
        <v>600</v>
      </c>
    </row>
    <row r="653" spans="2:10" x14ac:dyDescent="0.25">
      <c r="B653" s="2">
        <v>650</v>
      </c>
      <c r="C653" s="6">
        <v>45292</v>
      </c>
      <c r="D653" s="2" t="s">
        <v>670</v>
      </c>
      <c r="E653" s="2" t="s">
        <v>17</v>
      </c>
      <c r="F653" s="2">
        <v>55</v>
      </c>
      <c r="G653" s="2" t="s">
        <v>23</v>
      </c>
      <c r="H653" s="2">
        <v>1</v>
      </c>
      <c r="I653" s="2">
        <v>30</v>
      </c>
      <c r="J653" s="2">
        <v>30</v>
      </c>
    </row>
    <row r="654" spans="2:10" x14ac:dyDescent="0.25">
      <c r="B654" s="2">
        <v>651</v>
      </c>
      <c r="C654" s="6">
        <v>45073</v>
      </c>
      <c r="D654" s="2" t="s">
        <v>671</v>
      </c>
      <c r="E654" s="2" t="s">
        <v>17</v>
      </c>
      <c r="F654" s="2">
        <v>51</v>
      </c>
      <c r="G654" s="2" t="s">
        <v>21</v>
      </c>
      <c r="H654" s="2">
        <v>3</v>
      </c>
      <c r="I654" s="2">
        <v>50</v>
      </c>
      <c r="J654" s="2">
        <v>150</v>
      </c>
    </row>
    <row r="655" spans="2:10" x14ac:dyDescent="0.25">
      <c r="B655" s="2">
        <v>652</v>
      </c>
      <c r="C655" s="6">
        <v>45047</v>
      </c>
      <c r="D655" s="2" t="s">
        <v>672</v>
      </c>
      <c r="E655" s="2" t="s">
        <v>20</v>
      </c>
      <c r="F655" s="2">
        <v>34</v>
      </c>
      <c r="G655" s="2" t="s">
        <v>18</v>
      </c>
      <c r="H655" s="2">
        <v>2</v>
      </c>
      <c r="I655" s="2">
        <v>50</v>
      </c>
      <c r="J655" s="2">
        <v>100</v>
      </c>
    </row>
    <row r="656" spans="2:10" x14ac:dyDescent="0.25">
      <c r="B656" s="2">
        <v>653</v>
      </c>
      <c r="C656" s="6">
        <v>45066</v>
      </c>
      <c r="D656" s="2" t="s">
        <v>673</v>
      </c>
      <c r="E656" s="2" t="s">
        <v>17</v>
      </c>
      <c r="F656" s="2">
        <v>54</v>
      </c>
      <c r="G656" s="2" t="s">
        <v>21</v>
      </c>
      <c r="H656" s="2">
        <v>3</v>
      </c>
      <c r="I656" s="2">
        <v>25</v>
      </c>
      <c r="J656" s="2">
        <v>75</v>
      </c>
    </row>
    <row r="657" spans="2:10" x14ac:dyDescent="0.25">
      <c r="B657" s="2">
        <v>654</v>
      </c>
      <c r="C657" s="6">
        <v>45098</v>
      </c>
      <c r="D657" s="2" t="s">
        <v>674</v>
      </c>
      <c r="E657" s="2" t="s">
        <v>17</v>
      </c>
      <c r="F657" s="2">
        <v>42</v>
      </c>
      <c r="G657" s="2" t="s">
        <v>21</v>
      </c>
      <c r="H657" s="2">
        <v>3</v>
      </c>
      <c r="I657" s="2">
        <v>25</v>
      </c>
      <c r="J657" s="2">
        <v>75</v>
      </c>
    </row>
    <row r="658" spans="2:10" x14ac:dyDescent="0.25">
      <c r="B658" s="2">
        <v>655</v>
      </c>
      <c r="C658" s="6">
        <v>45090</v>
      </c>
      <c r="D658" s="2" t="s">
        <v>675</v>
      </c>
      <c r="E658" s="2" t="s">
        <v>20</v>
      </c>
      <c r="F658" s="2">
        <v>55</v>
      </c>
      <c r="G658" s="2" t="s">
        <v>21</v>
      </c>
      <c r="H658" s="2">
        <v>1</v>
      </c>
      <c r="I658" s="2">
        <v>500</v>
      </c>
      <c r="J658" s="2">
        <v>500</v>
      </c>
    </row>
    <row r="659" spans="2:10" x14ac:dyDescent="0.25">
      <c r="B659" s="2">
        <v>656</v>
      </c>
      <c r="C659" s="6">
        <v>45203</v>
      </c>
      <c r="D659" s="2" t="s">
        <v>676</v>
      </c>
      <c r="E659" s="2" t="s">
        <v>17</v>
      </c>
      <c r="F659" s="2">
        <v>29</v>
      </c>
      <c r="G659" s="2" t="s">
        <v>18</v>
      </c>
      <c r="H659" s="2">
        <v>3</v>
      </c>
      <c r="I659" s="2">
        <v>30</v>
      </c>
      <c r="J659" s="2">
        <v>90</v>
      </c>
    </row>
    <row r="660" spans="2:10" x14ac:dyDescent="0.25">
      <c r="B660" s="2">
        <v>657</v>
      </c>
      <c r="C660" s="6">
        <v>44968</v>
      </c>
      <c r="D660" s="2" t="s">
        <v>677</v>
      </c>
      <c r="E660" s="2" t="s">
        <v>17</v>
      </c>
      <c r="F660" s="2">
        <v>40</v>
      </c>
      <c r="G660" s="2" t="s">
        <v>21</v>
      </c>
      <c r="H660" s="2">
        <v>1</v>
      </c>
      <c r="I660" s="2">
        <v>25</v>
      </c>
      <c r="J660" s="2">
        <v>25</v>
      </c>
    </row>
    <row r="661" spans="2:10" x14ac:dyDescent="0.25">
      <c r="B661" s="2">
        <v>658</v>
      </c>
      <c r="C661" s="6">
        <v>44997</v>
      </c>
      <c r="D661" s="2" t="s">
        <v>678</v>
      </c>
      <c r="E661" s="2" t="s">
        <v>17</v>
      </c>
      <c r="F661" s="2">
        <v>59</v>
      </c>
      <c r="G661" s="2" t="s">
        <v>21</v>
      </c>
      <c r="H661" s="2">
        <v>1</v>
      </c>
      <c r="I661" s="2">
        <v>25</v>
      </c>
      <c r="J661" s="2">
        <v>25</v>
      </c>
    </row>
    <row r="662" spans="2:10" x14ac:dyDescent="0.25">
      <c r="B662" s="2">
        <v>659</v>
      </c>
      <c r="C662" s="6">
        <v>45004</v>
      </c>
      <c r="D662" s="2" t="s">
        <v>679</v>
      </c>
      <c r="E662" s="2" t="s">
        <v>20</v>
      </c>
      <c r="F662" s="2">
        <v>39</v>
      </c>
      <c r="G662" s="2" t="s">
        <v>23</v>
      </c>
      <c r="H662" s="2">
        <v>1</v>
      </c>
      <c r="I662" s="2">
        <v>30</v>
      </c>
      <c r="J662" s="2">
        <v>30</v>
      </c>
    </row>
    <row r="663" spans="2:10" x14ac:dyDescent="0.25">
      <c r="B663" s="2">
        <v>660</v>
      </c>
      <c r="C663" s="6">
        <v>45045</v>
      </c>
      <c r="D663" s="2" t="s">
        <v>680</v>
      </c>
      <c r="E663" s="2" t="s">
        <v>20</v>
      </c>
      <c r="F663" s="2">
        <v>38</v>
      </c>
      <c r="G663" s="2" t="s">
        <v>18</v>
      </c>
      <c r="H663" s="2">
        <v>2</v>
      </c>
      <c r="I663" s="2">
        <v>500</v>
      </c>
      <c r="J663" s="2">
        <v>1000</v>
      </c>
    </row>
    <row r="664" spans="2:10" x14ac:dyDescent="0.25">
      <c r="B664" s="2">
        <v>661</v>
      </c>
      <c r="C664" s="6">
        <v>45123</v>
      </c>
      <c r="D664" s="2" t="s">
        <v>681</v>
      </c>
      <c r="E664" s="2" t="s">
        <v>20</v>
      </c>
      <c r="F664" s="2">
        <v>44</v>
      </c>
      <c r="G664" s="2" t="s">
        <v>21</v>
      </c>
      <c r="H664" s="2">
        <v>4</v>
      </c>
      <c r="I664" s="2">
        <v>25</v>
      </c>
      <c r="J664" s="2">
        <v>100</v>
      </c>
    </row>
    <row r="665" spans="2:10" x14ac:dyDescent="0.25">
      <c r="B665" s="2">
        <v>662</v>
      </c>
      <c r="C665" s="6">
        <v>45282</v>
      </c>
      <c r="D665" s="2" t="s">
        <v>682</v>
      </c>
      <c r="E665" s="2" t="s">
        <v>17</v>
      </c>
      <c r="F665" s="2">
        <v>48</v>
      </c>
      <c r="G665" s="2" t="s">
        <v>18</v>
      </c>
      <c r="H665" s="2">
        <v>2</v>
      </c>
      <c r="I665" s="2">
        <v>500</v>
      </c>
      <c r="J665" s="2">
        <v>1000</v>
      </c>
    </row>
    <row r="666" spans="2:10" x14ac:dyDescent="0.25">
      <c r="B666" s="2">
        <v>663</v>
      </c>
      <c r="C666" s="6">
        <v>45005</v>
      </c>
      <c r="D666" s="2" t="s">
        <v>683</v>
      </c>
      <c r="E666" s="2" t="s">
        <v>17</v>
      </c>
      <c r="F666" s="2">
        <v>23</v>
      </c>
      <c r="G666" s="2" t="s">
        <v>21</v>
      </c>
      <c r="H666" s="2">
        <v>4</v>
      </c>
      <c r="I666" s="2">
        <v>300</v>
      </c>
      <c r="J666" s="2">
        <v>1200</v>
      </c>
    </row>
    <row r="667" spans="2:10" x14ac:dyDescent="0.25">
      <c r="B667" s="2">
        <v>664</v>
      </c>
      <c r="C667" s="6">
        <v>45288</v>
      </c>
      <c r="D667" s="2" t="s">
        <v>684</v>
      </c>
      <c r="E667" s="2" t="s">
        <v>20</v>
      </c>
      <c r="F667" s="2">
        <v>44</v>
      </c>
      <c r="G667" s="2" t="s">
        <v>21</v>
      </c>
      <c r="H667" s="2">
        <v>4</v>
      </c>
      <c r="I667" s="2">
        <v>500</v>
      </c>
      <c r="J667" s="2">
        <v>2000</v>
      </c>
    </row>
    <row r="668" spans="2:10" x14ac:dyDescent="0.25">
      <c r="B668" s="2">
        <v>665</v>
      </c>
      <c r="C668" s="6">
        <v>45036</v>
      </c>
      <c r="D668" s="2" t="s">
        <v>685</v>
      </c>
      <c r="E668" s="2" t="s">
        <v>17</v>
      </c>
      <c r="F668" s="2">
        <v>57</v>
      </c>
      <c r="G668" s="2" t="s">
        <v>21</v>
      </c>
      <c r="H668" s="2">
        <v>1</v>
      </c>
      <c r="I668" s="2">
        <v>50</v>
      </c>
      <c r="J668" s="2">
        <v>50</v>
      </c>
    </row>
    <row r="669" spans="2:10" x14ac:dyDescent="0.25">
      <c r="B669" s="2">
        <v>666</v>
      </c>
      <c r="C669" s="6">
        <v>44959</v>
      </c>
      <c r="D669" s="2" t="s">
        <v>686</v>
      </c>
      <c r="E669" s="2" t="s">
        <v>17</v>
      </c>
      <c r="F669" s="2">
        <v>51</v>
      </c>
      <c r="G669" s="2" t="s">
        <v>23</v>
      </c>
      <c r="H669" s="2">
        <v>3</v>
      </c>
      <c r="I669" s="2">
        <v>50</v>
      </c>
      <c r="J669" s="2">
        <v>150</v>
      </c>
    </row>
    <row r="670" spans="2:10" x14ac:dyDescent="0.25">
      <c r="B670" s="2">
        <v>667</v>
      </c>
      <c r="C670" s="6">
        <v>45139</v>
      </c>
      <c r="D670" s="2" t="s">
        <v>687</v>
      </c>
      <c r="E670" s="2" t="s">
        <v>20</v>
      </c>
      <c r="F670" s="2">
        <v>29</v>
      </c>
      <c r="G670" s="2" t="s">
        <v>23</v>
      </c>
      <c r="H670" s="2">
        <v>1</v>
      </c>
      <c r="I670" s="2">
        <v>500</v>
      </c>
      <c r="J670" s="2">
        <v>500</v>
      </c>
    </row>
    <row r="671" spans="2:10" x14ac:dyDescent="0.25">
      <c r="B671" s="2">
        <v>668</v>
      </c>
      <c r="C671" s="6">
        <v>45135</v>
      </c>
      <c r="D671" s="2" t="s">
        <v>688</v>
      </c>
      <c r="E671" s="2" t="s">
        <v>20</v>
      </c>
      <c r="F671" s="2">
        <v>62</v>
      </c>
      <c r="G671" s="2" t="s">
        <v>23</v>
      </c>
      <c r="H671" s="2">
        <v>3</v>
      </c>
      <c r="I671" s="2">
        <v>50</v>
      </c>
      <c r="J671" s="2">
        <v>150</v>
      </c>
    </row>
    <row r="672" spans="2:10" x14ac:dyDescent="0.25">
      <c r="B672" s="2">
        <v>669</v>
      </c>
      <c r="C672" s="6">
        <v>45096</v>
      </c>
      <c r="D672" s="2" t="s">
        <v>689</v>
      </c>
      <c r="E672" s="2" t="s">
        <v>17</v>
      </c>
      <c r="F672" s="2">
        <v>24</v>
      </c>
      <c r="G672" s="2" t="s">
        <v>18</v>
      </c>
      <c r="H672" s="2">
        <v>4</v>
      </c>
      <c r="I672" s="2">
        <v>300</v>
      </c>
      <c r="J672" s="2">
        <v>1200</v>
      </c>
    </row>
    <row r="673" spans="2:10" x14ac:dyDescent="0.25">
      <c r="B673" s="2">
        <v>670</v>
      </c>
      <c r="C673" s="6">
        <v>45204</v>
      </c>
      <c r="D673" s="2" t="s">
        <v>690</v>
      </c>
      <c r="E673" s="2" t="s">
        <v>17</v>
      </c>
      <c r="F673" s="2">
        <v>27</v>
      </c>
      <c r="G673" s="2" t="s">
        <v>18</v>
      </c>
      <c r="H673" s="2">
        <v>1</v>
      </c>
      <c r="I673" s="2">
        <v>30</v>
      </c>
      <c r="J673" s="2">
        <v>30</v>
      </c>
    </row>
    <row r="674" spans="2:10" x14ac:dyDescent="0.25">
      <c r="B674" s="2">
        <v>671</v>
      </c>
      <c r="C674" s="6">
        <v>45165</v>
      </c>
      <c r="D674" s="2" t="s">
        <v>691</v>
      </c>
      <c r="E674" s="2" t="s">
        <v>17</v>
      </c>
      <c r="F674" s="2">
        <v>62</v>
      </c>
      <c r="G674" s="2" t="s">
        <v>23</v>
      </c>
      <c r="H674" s="2">
        <v>3</v>
      </c>
      <c r="I674" s="2">
        <v>50</v>
      </c>
      <c r="J674" s="2">
        <v>150</v>
      </c>
    </row>
    <row r="675" spans="2:10" x14ac:dyDescent="0.25">
      <c r="B675" s="2">
        <v>672</v>
      </c>
      <c r="C675" s="6">
        <v>45139</v>
      </c>
      <c r="D675" s="2" t="s">
        <v>692</v>
      </c>
      <c r="E675" s="2" t="s">
        <v>20</v>
      </c>
      <c r="F675" s="2">
        <v>34</v>
      </c>
      <c r="G675" s="2" t="s">
        <v>18</v>
      </c>
      <c r="H675" s="2">
        <v>2</v>
      </c>
      <c r="I675" s="2">
        <v>50</v>
      </c>
      <c r="J675" s="2">
        <v>100</v>
      </c>
    </row>
    <row r="676" spans="2:10" x14ac:dyDescent="0.25">
      <c r="B676" s="2">
        <v>673</v>
      </c>
      <c r="C676" s="6">
        <v>44958</v>
      </c>
      <c r="D676" s="2" t="s">
        <v>693</v>
      </c>
      <c r="E676" s="2" t="s">
        <v>20</v>
      </c>
      <c r="F676" s="2">
        <v>43</v>
      </c>
      <c r="G676" s="2" t="s">
        <v>21</v>
      </c>
      <c r="H676" s="2">
        <v>3</v>
      </c>
      <c r="I676" s="2">
        <v>500</v>
      </c>
      <c r="J676" s="2">
        <v>1500</v>
      </c>
    </row>
    <row r="677" spans="2:10" x14ac:dyDescent="0.25">
      <c r="B677" s="2">
        <v>674</v>
      </c>
      <c r="C677" s="6">
        <v>45032</v>
      </c>
      <c r="D677" s="2" t="s">
        <v>694</v>
      </c>
      <c r="E677" s="2" t="s">
        <v>20</v>
      </c>
      <c r="F677" s="2">
        <v>38</v>
      </c>
      <c r="G677" s="2" t="s">
        <v>21</v>
      </c>
      <c r="H677" s="2">
        <v>1</v>
      </c>
      <c r="I677" s="2">
        <v>300</v>
      </c>
      <c r="J677" s="2">
        <v>300</v>
      </c>
    </row>
    <row r="678" spans="2:10" x14ac:dyDescent="0.25">
      <c r="B678" s="2">
        <v>675</v>
      </c>
      <c r="C678" s="6">
        <v>45142</v>
      </c>
      <c r="D678" s="2" t="s">
        <v>695</v>
      </c>
      <c r="E678" s="2" t="s">
        <v>20</v>
      </c>
      <c r="F678" s="2">
        <v>45</v>
      </c>
      <c r="G678" s="2" t="s">
        <v>21</v>
      </c>
      <c r="H678" s="2">
        <v>2</v>
      </c>
      <c r="I678" s="2">
        <v>30</v>
      </c>
      <c r="J678" s="2">
        <v>60</v>
      </c>
    </row>
    <row r="679" spans="2:10" x14ac:dyDescent="0.25">
      <c r="B679" s="2">
        <v>676</v>
      </c>
      <c r="C679" s="6">
        <v>45126</v>
      </c>
      <c r="D679" s="2" t="s">
        <v>696</v>
      </c>
      <c r="E679" s="2" t="s">
        <v>17</v>
      </c>
      <c r="F679" s="2">
        <v>63</v>
      </c>
      <c r="G679" s="2" t="s">
        <v>23</v>
      </c>
      <c r="H679" s="2">
        <v>3</v>
      </c>
      <c r="I679" s="2">
        <v>500</v>
      </c>
      <c r="J679" s="2">
        <v>1500</v>
      </c>
    </row>
    <row r="680" spans="2:10" x14ac:dyDescent="0.25">
      <c r="B680" s="2">
        <v>677</v>
      </c>
      <c r="C680" s="6">
        <v>45226</v>
      </c>
      <c r="D680" s="2" t="s">
        <v>697</v>
      </c>
      <c r="E680" s="2" t="s">
        <v>20</v>
      </c>
      <c r="F680" s="2">
        <v>19</v>
      </c>
      <c r="G680" s="2" t="s">
        <v>18</v>
      </c>
      <c r="H680" s="2">
        <v>3</v>
      </c>
      <c r="I680" s="2">
        <v>500</v>
      </c>
      <c r="J680" s="2">
        <v>1500</v>
      </c>
    </row>
    <row r="681" spans="2:10" x14ac:dyDescent="0.25">
      <c r="B681" s="2">
        <v>678</v>
      </c>
      <c r="C681" s="6">
        <v>45283</v>
      </c>
      <c r="D681" s="2" t="s">
        <v>698</v>
      </c>
      <c r="E681" s="2" t="s">
        <v>20</v>
      </c>
      <c r="F681" s="2">
        <v>60</v>
      </c>
      <c r="G681" s="2" t="s">
        <v>23</v>
      </c>
      <c r="H681" s="2">
        <v>3</v>
      </c>
      <c r="I681" s="2">
        <v>300</v>
      </c>
      <c r="J681" s="2">
        <v>900</v>
      </c>
    </row>
    <row r="682" spans="2:10" x14ac:dyDescent="0.25">
      <c r="B682" s="2">
        <v>679</v>
      </c>
      <c r="C682" s="6">
        <v>44937</v>
      </c>
      <c r="D682" s="2" t="s">
        <v>699</v>
      </c>
      <c r="E682" s="2" t="s">
        <v>20</v>
      </c>
      <c r="F682" s="2">
        <v>18</v>
      </c>
      <c r="G682" s="2" t="s">
        <v>18</v>
      </c>
      <c r="H682" s="2">
        <v>3</v>
      </c>
      <c r="I682" s="2">
        <v>30</v>
      </c>
      <c r="J682" s="2">
        <v>90</v>
      </c>
    </row>
    <row r="683" spans="2:10" x14ac:dyDescent="0.25">
      <c r="B683" s="2">
        <v>680</v>
      </c>
      <c r="C683" s="6">
        <v>45221</v>
      </c>
      <c r="D683" s="2" t="s">
        <v>700</v>
      </c>
      <c r="E683" s="2" t="s">
        <v>20</v>
      </c>
      <c r="F683" s="2">
        <v>53</v>
      </c>
      <c r="G683" s="2" t="s">
        <v>21</v>
      </c>
      <c r="H683" s="2">
        <v>3</v>
      </c>
      <c r="I683" s="2">
        <v>300</v>
      </c>
      <c r="J683" s="2">
        <v>900</v>
      </c>
    </row>
    <row r="684" spans="2:10" x14ac:dyDescent="0.25">
      <c r="B684" s="2">
        <v>681</v>
      </c>
      <c r="C684" s="6">
        <v>45121</v>
      </c>
      <c r="D684" s="2" t="s">
        <v>701</v>
      </c>
      <c r="E684" s="2" t="s">
        <v>20</v>
      </c>
      <c r="F684" s="2">
        <v>43</v>
      </c>
      <c r="G684" s="2" t="s">
        <v>23</v>
      </c>
      <c r="H684" s="2">
        <v>2</v>
      </c>
      <c r="I684" s="2">
        <v>30</v>
      </c>
      <c r="J684" s="2">
        <v>60</v>
      </c>
    </row>
    <row r="685" spans="2:10" x14ac:dyDescent="0.25">
      <c r="B685" s="2">
        <v>682</v>
      </c>
      <c r="C685" s="6">
        <v>45171</v>
      </c>
      <c r="D685" s="2" t="s">
        <v>702</v>
      </c>
      <c r="E685" s="2" t="s">
        <v>17</v>
      </c>
      <c r="F685" s="2">
        <v>46</v>
      </c>
      <c r="G685" s="2" t="s">
        <v>18</v>
      </c>
      <c r="H685" s="2">
        <v>4</v>
      </c>
      <c r="I685" s="2">
        <v>300</v>
      </c>
      <c r="J685" s="2">
        <v>1200</v>
      </c>
    </row>
    <row r="686" spans="2:10" x14ac:dyDescent="0.25">
      <c r="B686" s="2">
        <v>683</v>
      </c>
      <c r="C686" s="6">
        <v>44930</v>
      </c>
      <c r="D686" s="2" t="s">
        <v>703</v>
      </c>
      <c r="E686" s="2" t="s">
        <v>17</v>
      </c>
      <c r="F686" s="2">
        <v>38</v>
      </c>
      <c r="G686" s="2" t="s">
        <v>18</v>
      </c>
      <c r="H686" s="2">
        <v>2</v>
      </c>
      <c r="I686" s="2">
        <v>500</v>
      </c>
      <c r="J686" s="2">
        <v>1000</v>
      </c>
    </row>
    <row r="687" spans="2:10" x14ac:dyDescent="0.25">
      <c r="B687" s="2">
        <v>684</v>
      </c>
      <c r="C687" s="6">
        <v>45107</v>
      </c>
      <c r="D687" s="2" t="s">
        <v>704</v>
      </c>
      <c r="E687" s="2" t="s">
        <v>20</v>
      </c>
      <c r="F687" s="2">
        <v>28</v>
      </c>
      <c r="G687" s="2" t="s">
        <v>21</v>
      </c>
      <c r="H687" s="2">
        <v>2</v>
      </c>
      <c r="I687" s="2">
        <v>500</v>
      </c>
      <c r="J687" s="2">
        <v>1000</v>
      </c>
    </row>
    <row r="688" spans="2:10" x14ac:dyDescent="0.25">
      <c r="B688" s="2">
        <v>685</v>
      </c>
      <c r="C688" s="6">
        <v>45079</v>
      </c>
      <c r="D688" s="2" t="s">
        <v>705</v>
      </c>
      <c r="E688" s="2" t="s">
        <v>17</v>
      </c>
      <c r="F688" s="2">
        <v>57</v>
      </c>
      <c r="G688" s="2" t="s">
        <v>23</v>
      </c>
      <c r="H688" s="2">
        <v>2</v>
      </c>
      <c r="I688" s="2">
        <v>25</v>
      </c>
      <c r="J688" s="2">
        <v>50</v>
      </c>
    </row>
    <row r="689" spans="2:10" x14ac:dyDescent="0.25">
      <c r="B689" s="2">
        <v>686</v>
      </c>
      <c r="C689" s="6">
        <v>45126</v>
      </c>
      <c r="D689" s="2" t="s">
        <v>706</v>
      </c>
      <c r="E689" s="2" t="s">
        <v>20</v>
      </c>
      <c r="F689" s="2">
        <v>28</v>
      </c>
      <c r="G689" s="2" t="s">
        <v>23</v>
      </c>
      <c r="H689" s="2">
        <v>4</v>
      </c>
      <c r="I689" s="2">
        <v>50</v>
      </c>
      <c r="J689" s="2">
        <v>200</v>
      </c>
    </row>
    <row r="690" spans="2:10" x14ac:dyDescent="0.25">
      <c r="B690" s="2">
        <v>687</v>
      </c>
      <c r="C690" s="6">
        <v>45141</v>
      </c>
      <c r="D690" s="2" t="s">
        <v>707</v>
      </c>
      <c r="E690" s="2" t="s">
        <v>20</v>
      </c>
      <c r="F690" s="2">
        <v>53</v>
      </c>
      <c r="G690" s="2" t="s">
        <v>23</v>
      </c>
      <c r="H690" s="2">
        <v>1</v>
      </c>
      <c r="I690" s="2">
        <v>300</v>
      </c>
      <c r="J690" s="2">
        <v>300</v>
      </c>
    </row>
    <row r="691" spans="2:10" x14ac:dyDescent="0.25">
      <c r="B691" s="2">
        <v>688</v>
      </c>
      <c r="C691" s="6">
        <v>45202</v>
      </c>
      <c r="D691" s="2" t="s">
        <v>708</v>
      </c>
      <c r="E691" s="2" t="s">
        <v>17</v>
      </c>
      <c r="F691" s="2">
        <v>56</v>
      </c>
      <c r="G691" s="2" t="s">
        <v>21</v>
      </c>
      <c r="H691" s="2">
        <v>4</v>
      </c>
      <c r="I691" s="2">
        <v>25</v>
      </c>
      <c r="J691" s="2">
        <v>100</v>
      </c>
    </row>
    <row r="692" spans="2:10" x14ac:dyDescent="0.25">
      <c r="B692" s="2">
        <v>689</v>
      </c>
      <c r="C692" s="6">
        <v>45206</v>
      </c>
      <c r="D692" s="2" t="s">
        <v>709</v>
      </c>
      <c r="E692" s="2" t="s">
        <v>17</v>
      </c>
      <c r="F692" s="2">
        <v>57</v>
      </c>
      <c r="G692" s="2" t="s">
        <v>23</v>
      </c>
      <c r="H692" s="2">
        <v>2</v>
      </c>
      <c r="I692" s="2">
        <v>50</v>
      </c>
      <c r="J692" s="2">
        <v>100</v>
      </c>
    </row>
    <row r="693" spans="2:10" x14ac:dyDescent="0.25">
      <c r="B693" s="2">
        <v>690</v>
      </c>
      <c r="C693" s="6">
        <v>45235</v>
      </c>
      <c r="D693" s="2" t="s">
        <v>710</v>
      </c>
      <c r="E693" s="2" t="s">
        <v>20</v>
      </c>
      <c r="F693" s="2">
        <v>52</v>
      </c>
      <c r="G693" s="2" t="s">
        <v>21</v>
      </c>
      <c r="H693" s="2">
        <v>3</v>
      </c>
      <c r="I693" s="2">
        <v>300</v>
      </c>
      <c r="J693" s="2">
        <v>900</v>
      </c>
    </row>
    <row r="694" spans="2:10" x14ac:dyDescent="0.25">
      <c r="B694" s="2">
        <v>691</v>
      </c>
      <c r="C694" s="6">
        <v>45039</v>
      </c>
      <c r="D694" s="2" t="s">
        <v>711</v>
      </c>
      <c r="E694" s="2" t="s">
        <v>20</v>
      </c>
      <c r="F694" s="2">
        <v>51</v>
      </c>
      <c r="G694" s="2" t="s">
        <v>21</v>
      </c>
      <c r="H694" s="2">
        <v>3</v>
      </c>
      <c r="I694" s="2">
        <v>30</v>
      </c>
      <c r="J694" s="2">
        <v>90</v>
      </c>
    </row>
    <row r="695" spans="2:10" x14ac:dyDescent="0.25">
      <c r="B695" s="2">
        <v>692</v>
      </c>
      <c r="C695" s="6">
        <v>45176</v>
      </c>
      <c r="D695" s="2" t="s">
        <v>712</v>
      </c>
      <c r="E695" s="2" t="s">
        <v>20</v>
      </c>
      <c r="F695" s="2">
        <v>64</v>
      </c>
      <c r="G695" s="2" t="s">
        <v>21</v>
      </c>
      <c r="H695" s="2">
        <v>2</v>
      </c>
      <c r="I695" s="2">
        <v>50</v>
      </c>
      <c r="J695" s="2">
        <v>100</v>
      </c>
    </row>
    <row r="696" spans="2:10" x14ac:dyDescent="0.25">
      <c r="B696" s="2">
        <v>693</v>
      </c>
      <c r="C696" s="6">
        <v>45039</v>
      </c>
      <c r="D696" s="2" t="s">
        <v>713</v>
      </c>
      <c r="E696" s="2" t="s">
        <v>17</v>
      </c>
      <c r="F696" s="2">
        <v>41</v>
      </c>
      <c r="G696" s="2" t="s">
        <v>18</v>
      </c>
      <c r="H696" s="2">
        <v>3</v>
      </c>
      <c r="I696" s="2">
        <v>500</v>
      </c>
      <c r="J696" s="2">
        <v>1500</v>
      </c>
    </row>
    <row r="697" spans="2:10" x14ac:dyDescent="0.25">
      <c r="B697" s="2">
        <v>694</v>
      </c>
      <c r="C697" s="6">
        <v>45066</v>
      </c>
      <c r="D697" s="2" t="s">
        <v>714</v>
      </c>
      <c r="E697" s="2" t="s">
        <v>20</v>
      </c>
      <c r="F697" s="2">
        <v>39</v>
      </c>
      <c r="G697" s="2" t="s">
        <v>23</v>
      </c>
      <c r="H697" s="2">
        <v>2</v>
      </c>
      <c r="I697" s="2">
        <v>25</v>
      </c>
      <c r="J697" s="2">
        <v>50</v>
      </c>
    </row>
    <row r="698" spans="2:10" x14ac:dyDescent="0.25">
      <c r="B698" s="2">
        <v>695</v>
      </c>
      <c r="C698" s="6">
        <v>45150</v>
      </c>
      <c r="D698" s="2" t="s">
        <v>715</v>
      </c>
      <c r="E698" s="2" t="s">
        <v>20</v>
      </c>
      <c r="F698" s="2">
        <v>22</v>
      </c>
      <c r="G698" s="2" t="s">
        <v>23</v>
      </c>
      <c r="H698" s="2">
        <v>3</v>
      </c>
      <c r="I698" s="2">
        <v>50</v>
      </c>
      <c r="J698" s="2">
        <v>150</v>
      </c>
    </row>
    <row r="699" spans="2:10" x14ac:dyDescent="0.25">
      <c r="B699" s="2">
        <v>696</v>
      </c>
      <c r="C699" s="6">
        <v>45175</v>
      </c>
      <c r="D699" s="2" t="s">
        <v>716</v>
      </c>
      <c r="E699" s="2" t="s">
        <v>20</v>
      </c>
      <c r="F699" s="2">
        <v>50</v>
      </c>
      <c r="G699" s="2" t="s">
        <v>21</v>
      </c>
      <c r="H699" s="2">
        <v>4</v>
      </c>
      <c r="I699" s="2">
        <v>50</v>
      </c>
      <c r="J699" s="2">
        <v>200</v>
      </c>
    </row>
    <row r="700" spans="2:10" x14ac:dyDescent="0.25">
      <c r="B700" s="2">
        <v>697</v>
      </c>
      <c r="C700" s="6">
        <v>44941</v>
      </c>
      <c r="D700" s="2" t="s">
        <v>717</v>
      </c>
      <c r="E700" s="2" t="s">
        <v>17</v>
      </c>
      <c r="F700" s="2">
        <v>53</v>
      </c>
      <c r="G700" s="2" t="s">
        <v>21</v>
      </c>
      <c r="H700" s="2">
        <v>1</v>
      </c>
      <c r="I700" s="2">
        <v>500</v>
      </c>
      <c r="J700" s="2">
        <v>500</v>
      </c>
    </row>
    <row r="701" spans="2:10" x14ac:dyDescent="0.25">
      <c r="B701" s="2">
        <v>698</v>
      </c>
      <c r="C701" s="6">
        <v>45126</v>
      </c>
      <c r="D701" s="2" t="s">
        <v>718</v>
      </c>
      <c r="E701" s="2" t="s">
        <v>20</v>
      </c>
      <c r="F701" s="2">
        <v>64</v>
      </c>
      <c r="G701" s="2" t="s">
        <v>23</v>
      </c>
      <c r="H701" s="2">
        <v>1</v>
      </c>
      <c r="I701" s="2">
        <v>300</v>
      </c>
      <c r="J701" s="2">
        <v>300</v>
      </c>
    </row>
    <row r="702" spans="2:10" x14ac:dyDescent="0.25">
      <c r="B702" s="2">
        <v>699</v>
      </c>
      <c r="C702" s="6">
        <v>45099</v>
      </c>
      <c r="D702" s="2" t="s">
        <v>719</v>
      </c>
      <c r="E702" s="2" t="s">
        <v>20</v>
      </c>
      <c r="F702" s="2">
        <v>37</v>
      </c>
      <c r="G702" s="2" t="s">
        <v>21</v>
      </c>
      <c r="H702" s="2">
        <v>4</v>
      </c>
      <c r="I702" s="2">
        <v>30</v>
      </c>
      <c r="J702" s="2">
        <v>120</v>
      </c>
    </row>
    <row r="703" spans="2:10" x14ac:dyDescent="0.25">
      <c r="B703" s="2">
        <v>700</v>
      </c>
      <c r="C703" s="6">
        <v>45269</v>
      </c>
      <c r="D703" s="2" t="s">
        <v>720</v>
      </c>
      <c r="E703" s="2" t="s">
        <v>17</v>
      </c>
      <c r="F703" s="2">
        <v>36</v>
      </c>
      <c r="G703" s="2" t="s">
        <v>23</v>
      </c>
      <c r="H703" s="2">
        <v>4</v>
      </c>
      <c r="I703" s="2">
        <v>500</v>
      </c>
      <c r="J703" s="2">
        <v>2000</v>
      </c>
    </row>
    <row r="704" spans="2:10" x14ac:dyDescent="0.25">
      <c r="B704" s="2">
        <v>701</v>
      </c>
      <c r="C704" s="6">
        <v>45274</v>
      </c>
      <c r="D704" s="2" t="s">
        <v>721</v>
      </c>
      <c r="E704" s="2" t="s">
        <v>20</v>
      </c>
      <c r="F704" s="2">
        <v>52</v>
      </c>
      <c r="G704" s="2" t="s">
        <v>18</v>
      </c>
      <c r="H704" s="2">
        <v>2</v>
      </c>
      <c r="I704" s="2">
        <v>30</v>
      </c>
      <c r="J704" s="2">
        <v>60</v>
      </c>
    </row>
    <row r="705" spans="2:10" x14ac:dyDescent="0.25">
      <c r="B705" s="2">
        <v>702</v>
      </c>
      <c r="C705" s="6">
        <v>45134</v>
      </c>
      <c r="D705" s="2" t="s">
        <v>722</v>
      </c>
      <c r="E705" s="2" t="s">
        <v>20</v>
      </c>
      <c r="F705" s="2">
        <v>60</v>
      </c>
      <c r="G705" s="2" t="s">
        <v>21</v>
      </c>
      <c r="H705" s="2">
        <v>2</v>
      </c>
      <c r="I705" s="2">
        <v>300</v>
      </c>
      <c r="J705" s="2">
        <v>600</v>
      </c>
    </row>
    <row r="706" spans="2:10" x14ac:dyDescent="0.25">
      <c r="B706" s="2">
        <v>703</v>
      </c>
      <c r="C706" s="6">
        <v>45011</v>
      </c>
      <c r="D706" s="2" t="s">
        <v>723</v>
      </c>
      <c r="E706" s="2" t="s">
        <v>17</v>
      </c>
      <c r="F706" s="2">
        <v>34</v>
      </c>
      <c r="G706" s="2" t="s">
        <v>23</v>
      </c>
      <c r="H706" s="2">
        <v>2</v>
      </c>
      <c r="I706" s="2">
        <v>50</v>
      </c>
      <c r="J706" s="2">
        <v>100</v>
      </c>
    </row>
    <row r="707" spans="2:10" x14ac:dyDescent="0.25">
      <c r="B707" s="2">
        <v>704</v>
      </c>
      <c r="C707" s="6">
        <v>45166</v>
      </c>
      <c r="D707" s="2" t="s">
        <v>724</v>
      </c>
      <c r="E707" s="2" t="s">
        <v>20</v>
      </c>
      <c r="F707" s="2">
        <v>62</v>
      </c>
      <c r="G707" s="2" t="s">
        <v>21</v>
      </c>
      <c r="H707" s="2">
        <v>3</v>
      </c>
      <c r="I707" s="2">
        <v>30</v>
      </c>
      <c r="J707" s="2">
        <v>90</v>
      </c>
    </row>
    <row r="708" spans="2:10" x14ac:dyDescent="0.25">
      <c r="B708" s="2">
        <v>705</v>
      </c>
      <c r="C708" s="6">
        <v>44992</v>
      </c>
      <c r="D708" s="2" t="s">
        <v>725</v>
      </c>
      <c r="E708" s="2" t="s">
        <v>17</v>
      </c>
      <c r="F708" s="2">
        <v>60</v>
      </c>
      <c r="G708" s="2" t="s">
        <v>23</v>
      </c>
      <c r="H708" s="2">
        <v>2</v>
      </c>
      <c r="I708" s="2">
        <v>25</v>
      </c>
      <c r="J708" s="2">
        <v>50</v>
      </c>
    </row>
    <row r="709" spans="2:10" x14ac:dyDescent="0.25">
      <c r="B709" s="2">
        <v>706</v>
      </c>
      <c r="C709" s="6">
        <v>45245</v>
      </c>
      <c r="D709" s="2" t="s">
        <v>726</v>
      </c>
      <c r="E709" s="2" t="s">
        <v>17</v>
      </c>
      <c r="F709" s="2">
        <v>51</v>
      </c>
      <c r="G709" s="2" t="s">
        <v>23</v>
      </c>
      <c r="H709" s="2">
        <v>4</v>
      </c>
      <c r="I709" s="2">
        <v>25</v>
      </c>
      <c r="J709" s="2">
        <v>100</v>
      </c>
    </row>
    <row r="710" spans="2:10" x14ac:dyDescent="0.25">
      <c r="B710" s="2">
        <v>707</v>
      </c>
      <c r="C710" s="6">
        <v>45200</v>
      </c>
      <c r="D710" s="2" t="s">
        <v>727</v>
      </c>
      <c r="E710" s="2" t="s">
        <v>20</v>
      </c>
      <c r="F710" s="2">
        <v>26</v>
      </c>
      <c r="G710" s="2" t="s">
        <v>21</v>
      </c>
      <c r="H710" s="2">
        <v>1</v>
      </c>
      <c r="I710" s="2">
        <v>500</v>
      </c>
      <c r="J710" s="2">
        <v>500</v>
      </c>
    </row>
    <row r="711" spans="2:10" x14ac:dyDescent="0.25">
      <c r="B711" s="2">
        <v>708</v>
      </c>
      <c r="C711" s="6">
        <v>44940</v>
      </c>
      <c r="D711" s="2" t="s">
        <v>728</v>
      </c>
      <c r="E711" s="2" t="s">
        <v>20</v>
      </c>
      <c r="F711" s="2">
        <v>43</v>
      </c>
      <c r="G711" s="2" t="s">
        <v>18</v>
      </c>
      <c r="H711" s="2">
        <v>3</v>
      </c>
      <c r="I711" s="2">
        <v>300</v>
      </c>
      <c r="J711" s="2">
        <v>900</v>
      </c>
    </row>
    <row r="712" spans="2:10" x14ac:dyDescent="0.25">
      <c r="B712" s="2">
        <v>709</v>
      </c>
      <c r="C712" s="6">
        <v>45128</v>
      </c>
      <c r="D712" s="2" t="s">
        <v>729</v>
      </c>
      <c r="E712" s="2" t="s">
        <v>20</v>
      </c>
      <c r="F712" s="2">
        <v>19</v>
      </c>
      <c r="G712" s="2" t="s">
        <v>23</v>
      </c>
      <c r="H712" s="2">
        <v>2</v>
      </c>
      <c r="I712" s="2">
        <v>500</v>
      </c>
      <c r="J712" s="2">
        <v>1000</v>
      </c>
    </row>
    <row r="713" spans="2:10" x14ac:dyDescent="0.25">
      <c r="B713" s="2">
        <v>710</v>
      </c>
      <c r="C713" s="6">
        <v>45230</v>
      </c>
      <c r="D713" s="2" t="s">
        <v>730</v>
      </c>
      <c r="E713" s="2" t="s">
        <v>20</v>
      </c>
      <c r="F713" s="2">
        <v>26</v>
      </c>
      <c r="G713" s="2" t="s">
        <v>23</v>
      </c>
      <c r="H713" s="2">
        <v>3</v>
      </c>
      <c r="I713" s="2">
        <v>500</v>
      </c>
      <c r="J713" s="2">
        <v>1500</v>
      </c>
    </row>
    <row r="714" spans="2:10" x14ac:dyDescent="0.25">
      <c r="B714" s="2">
        <v>711</v>
      </c>
      <c r="C714" s="6">
        <v>45215</v>
      </c>
      <c r="D714" s="2" t="s">
        <v>731</v>
      </c>
      <c r="E714" s="2" t="s">
        <v>17</v>
      </c>
      <c r="F714" s="2">
        <v>26</v>
      </c>
      <c r="G714" s="2" t="s">
        <v>23</v>
      </c>
      <c r="H714" s="2">
        <v>3</v>
      </c>
      <c r="I714" s="2">
        <v>500</v>
      </c>
      <c r="J714" s="2">
        <v>1500</v>
      </c>
    </row>
    <row r="715" spans="2:10" x14ac:dyDescent="0.25">
      <c r="B715" s="2">
        <v>712</v>
      </c>
      <c r="C715" s="6">
        <v>45266</v>
      </c>
      <c r="D715" s="2" t="s">
        <v>732</v>
      </c>
      <c r="E715" s="2" t="s">
        <v>20</v>
      </c>
      <c r="F715" s="2">
        <v>57</v>
      </c>
      <c r="G715" s="2" t="s">
        <v>18</v>
      </c>
      <c r="H715" s="2">
        <v>2</v>
      </c>
      <c r="I715" s="2">
        <v>25</v>
      </c>
      <c r="J715" s="2">
        <v>50</v>
      </c>
    </row>
    <row r="716" spans="2:10" x14ac:dyDescent="0.25">
      <c r="B716" s="2">
        <v>713</v>
      </c>
      <c r="C716" s="6">
        <v>44940</v>
      </c>
      <c r="D716" s="2" t="s">
        <v>733</v>
      </c>
      <c r="E716" s="2" t="s">
        <v>17</v>
      </c>
      <c r="F716" s="2">
        <v>34</v>
      </c>
      <c r="G716" s="2" t="s">
        <v>18</v>
      </c>
      <c r="H716" s="2">
        <v>3</v>
      </c>
      <c r="I716" s="2">
        <v>25</v>
      </c>
      <c r="J716" s="2">
        <v>75</v>
      </c>
    </row>
    <row r="717" spans="2:10" x14ac:dyDescent="0.25">
      <c r="B717" s="2">
        <v>714</v>
      </c>
      <c r="C717" s="6">
        <v>44969</v>
      </c>
      <c r="D717" s="2" t="s">
        <v>734</v>
      </c>
      <c r="E717" s="2" t="s">
        <v>20</v>
      </c>
      <c r="F717" s="2">
        <v>18</v>
      </c>
      <c r="G717" s="2" t="s">
        <v>21</v>
      </c>
      <c r="H717" s="2">
        <v>1</v>
      </c>
      <c r="I717" s="2">
        <v>500</v>
      </c>
      <c r="J717" s="2">
        <v>500</v>
      </c>
    </row>
    <row r="718" spans="2:10" x14ac:dyDescent="0.25">
      <c r="B718" s="2">
        <v>715</v>
      </c>
      <c r="C718" s="6">
        <v>45256</v>
      </c>
      <c r="D718" s="2" t="s">
        <v>735</v>
      </c>
      <c r="E718" s="2" t="s">
        <v>20</v>
      </c>
      <c r="F718" s="2">
        <v>42</v>
      </c>
      <c r="G718" s="2" t="s">
        <v>18</v>
      </c>
      <c r="H718" s="2">
        <v>4</v>
      </c>
      <c r="I718" s="2">
        <v>25</v>
      </c>
      <c r="J718" s="2">
        <v>100</v>
      </c>
    </row>
    <row r="719" spans="2:10" x14ac:dyDescent="0.25">
      <c r="B719" s="2">
        <v>716</v>
      </c>
      <c r="C719" s="6">
        <v>45146</v>
      </c>
      <c r="D719" s="2" t="s">
        <v>736</v>
      </c>
      <c r="E719" s="2" t="s">
        <v>20</v>
      </c>
      <c r="F719" s="2">
        <v>60</v>
      </c>
      <c r="G719" s="2" t="s">
        <v>21</v>
      </c>
      <c r="H719" s="2">
        <v>4</v>
      </c>
      <c r="I719" s="2">
        <v>300</v>
      </c>
      <c r="J719" s="2">
        <v>1200</v>
      </c>
    </row>
    <row r="720" spans="2:10" x14ac:dyDescent="0.25">
      <c r="B720" s="2">
        <v>717</v>
      </c>
      <c r="C720" s="6">
        <v>44996</v>
      </c>
      <c r="D720" s="2" t="s">
        <v>737</v>
      </c>
      <c r="E720" s="2" t="s">
        <v>17</v>
      </c>
      <c r="F720" s="2">
        <v>57</v>
      </c>
      <c r="G720" s="2" t="s">
        <v>21</v>
      </c>
      <c r="H720" s="2">
        <v>1</v>
      </c>
      <c r="I720" s="2">
        <v>500</v>
      </c>
      <c r="J720" s="2">
        <v>500</v>
      </c>
    </row>
    <row r="721" spans="2:10" x14ac:dyDescent="0.25">
      <c r="B721" s="2">
        <v>718</v>
      </c>
      <c r="C721" s="6">
        <v>45163</v>
      </c>
      <c r="D721" s="2" t="s">
        <v>738</v>
      </c>
      <c r="E721" s="2" t="s">
        <v>20</v>
      </c>
      <c r="F721" s="2">
        <v>59</v>
      </c>
      <c r="G721" s="2" t="s">
        <v>18</v>
      </c>
      <c r="H721" s="2">
        <v>3</v>
      </c>
      <c r="I721" s="2">
        <v>25</v>
      </c>
      <c r="J721" s="2">
        <v>75</v>
      </c>
    </row>
    <row r="722" spans="2:10" x14ac:dyDescent="0.25">
      <c r="B722" s="2">
        <v>719</v>
      </c>
      <c r="C722" s="6">
        <v>45020</v>
      </c>
      <c r="D722" s="2" t="s">
        <v>739</v>
      </c>
      <c r="E722" s="2" t="s">
        <v>20</v>
      </c>
      <c r="F722" s="2">
        <v>42</v>
      </c>
      <c r="G722" s="2" t="s">
        <v>21</v>
      </c>
      <c r="H722" s="2">
        <v>2</v>
      </c>
      <c r="I722" s="2">
        <v>30</v>
      </c>
      <c r="J722" s="2">
        <v>60</v>
      </c>
    </row>
    <row r="723" spans="2:10" x14ac:dyDescent="0.25">
      <c r="B723" s="2">
        <v>720</v>
      </c>
      <c r="C723" s="6">
        <v>44952</v>
      </c>
      <c r="D723" s="2" t="s">
        <v>740</v>
      </c>
      <c r="E723" s="2" t="s">
        <v>20</v>
      </c>
      <c r="F723" s="2">
        <v>56</v>
      </c>
      <c r="G723" s="2" t="s">
        <v>18</v>
      </c>
      <c r="H723" s="2">
        <v>3</v>
      </c>
      <c r="I723" s="2">
        <v>500</v>
      </c>
      <c r="J723" s="2">
        <v>1500</v>
      </c>
    </row>
    <row r="724" spans="2:10" x14ac:dyDescent="0.25">
      <c r="B724" s="2">
        <v>721</v>
      </c>
      <c r="C724" s="6">
        <v>45060</v>
      </c>
      <c r="D724" s="2" t="s">
        <v>741</v>
      </c>
      <c r="E724" s="2" t="s">
        <v>20</v>
      </c>
      <c r="F724" s="2">
        <v>52</v>
      </c>
      <c r="G724" s="2" t="s">
        <v>21</v>
      </c>
      <c r="H724" s="2">
        <v>1</v>
      </c>
      <c r="I724" s="2">
        <v>500</v>
      </c>
      <c r="J724" s="2">
        <v>500</v>
      </c>
    </row>
    <row r="725" spans="2:10" x14ac:dyDescent="0.25">
      <c r="B725" s="2">
        <v>722</v>
      </c>
      <c r="C725" s="6">
        <v>45121</v>
      </c>
      <c r="D725" s="2" t="s">
        <v>742</v>
      </c>
      <c r="E725" s="2" t="s">
        <v>17</v>
      </c>
      <c r="F725" s="2">
        <v>20</v>
      </c>
      <c r="G725" s="2" t="s">
        <v>18</v>
      </c>
      <c r="H725" s="2">
        <v>3</v>
      </c>
      <c r="I725" s="2">
        <v>300</v>
      </c>
      <c r="J725" s="2">
        <v>900</v>
      </c>
    </row>
    <row r="726" spans="2:10" x14ac:dyDescent="0.25">
      <c r="B726" s="2">
        <v>723</v>
      </c>
      <c r="C726" s="6">
        <v>45094</v>
      </c>
      <c r="D726" s="2" t="s">
        <v>743</v>
      </c>
      <c r="E726" s="2" t="s">
        <v>20</v>
      </c>
      <c r="F726" s="2">
        <v>54</v>
      </c>
      <c r="G726" s="2" t="s">
        <v>18</v>
      </c>
      <c r="H726" s="2">
        <v>4</v>
      </c>
      <c r="I726" s="2">
        <v>50</v>
      </c>
      <c r="J726" s="2">
        <v>200</v>
      </c>
    </row>
    <row r="727" spans="2:10" x14ac:dyDescent="0.25">
      <c r="B727" s="2">
        <v>724</v>
      </c>
      <c r="C727" s="6">
        <v>45035</v>
      </c>
      <c r="D727" s="2" t="s">
        <v>744</v>
      </c>
      <c r="E727" s="2" t="s">
        <v>17</v>
      </c>
      <c r="F727" s="2">
        <v>61</v>
      </c>
      <c r="G727" s="2" t="s">
        <v>21</v>
      </c>
      <c r="H727" s="2">
        <v>3</v>
      </c>
      <c r="I727" s="2">
        <v>50</v>
      </c>
      <c r="J727" s="2">
        <v>150</v>
      </c>
    </row>
    <row r="728" spans="2:10" x14ac:dyDescent="0.25">
      <c r="B728" s="2">
        <v>725</v>
      </c>
      <c r="C728" s="6">
        <v>45159</v>
      </c>
      <c r="D728" s="2" t="s">
        <v>745</v>
      </c>
      <c r="E728" s="2" t="s">
        <v>17</v>
      </c>
      <c r="F728" s="2">
        <v>61</v>
      </c>
      <c r="G728" s="2" t="s">
        <v>23</v>
      </c>
      <c r="H728" s="2">
        <v>1</v>
      </c>
      <c r="I728" s="2">
        <v>300</v>
      </c>
      <c r="J728" s="2">
        <v>300</v>
      </c>
    </row>
    <row r="729" spans="2:10" x14ac:dyDescent="0.25">
      <c r="B729" s="2">
        <v>726</v>
      </c>
      <c r="C729" s="6">
        <v>45094</v>
      </c>
      <c r="D729" s="2" t="s">
        <v>746</v>
      </c>
      <c r="E729" s="2" t="s">
        <v>17</v>
      </c>
      <c r="F729" s="2">
        <v>47</v>
      </c>
      <c r="G729" s="2" t="s">
        <v>21</v>
      </c>
      <c r="H729" s="2">
        <v>4</v>
      </c>
      <c r="I729" s="2">
        <v>300</v>
      </c>
      <c r="J729" s="2">
        <v>1200</v>
      </c>
    </row>
    <row r="730" spans="2:10" x14ac:dyDescent="0.25">
      <c r="B730" s="2">
        <v>727</v>
      </c>
      <c r="C730" s="6">
        <v>45099</v>
      </c>
      <c r="D730" s="2" t="s">
        <v>747</v>
      </c>
      <c r="E730" s="2" t="s">
        <v>17</v>
      </c>
      <c r="F730" s="2">
        <v>55</v>
      </c>
      <c r="G730" s="2" t="s">
        <v>18</v>
      </c>
      <c r="H730" s="2">
        <v>3</v>
      </c>
      <c r="I730" s="2">
        <v>300</v>
      </c>
      <c r="J730" s="2">
        <v>900</v>
      </c>
    </row>
    <row r="731" spans="2:10" x14ac:dyDescent="0.25">
      <c r="B731" s="2">
        <v>728</v>
      </c>
      <c r="C731" s="6">
        <v>45121</v>
      </c>
      <c r="D731" s="2" t="s">
        <v>748</v>
      </c>
      <c r="E731" s="2" t="s">
        <v>17</v>
      </c>
      <c r="F731" s="2">
        <v>51</v>
      </c>
      <c r="G731" s="2" t="s">
        <v>23</v>
      </c>
      <c r="H731" s="2">
        <v>3</v>
      </c>
      <c r="I731" s="2">
        <v>50</v>
      </c>
      <c r="J731" s="2">
        <v>150</v>
      </c>
    </row>
    <row r="732" spans="2:10" x14ac:dyDescent="0.25">
      <c r="B732" s="2">
        <v>729</v>
      </c>
      <c r="C732" s="6">
        <v>45069</v>
      </c>
      <c r="D732" s="2" t="s">
        <v>749</v>
      </c>
      <c r="E732" s="2" t="s">
        <v>17</v>
      </c>
      <c r="F732" s="2">
        <v>29</v>
      </c>
      <c r="G732" s="2" t="s">
        <v>21</v>
      </c>
      <c r="H732" s="2">
        <v>4</v>
      </c>
      <c r="I732" s="2">
        <v>300</v>
      </c>
      <c r="J732" s="2">
        <v>1200</v>
      </c>
    </row>
    <row r="733" spans="2:10" x14ac:dyDescent="0.25">
      <c r="B733" s="2">
        <v>730</v>
      </c>
      <c r="C733" s="6">
        <v>45142</v>
      </c>
      <c r="D733" s="2" t="s">
        <v>750</v>
      </c>
      <c r="E733" s="2" t="s">
        <v>20</v>
      </c>
      <c r="F733" s="2">
        <v>36</v>
      </c>
      <c r="G733" s="2" t="s">
        <v>21</v>
      </c>
      <c r="H733" s="2">
        <v>2</v>
      </c>
      <c r="I733" s="2">
        <v>25</v>
      </c>
      <c r="J733" s="2">
        <v>50</v>
      </c>
    </row>
    <row r="734" spans="2:10" x14ac:dyDescent="0.25">
      <c r="B734" s="2">
        <v>731</v>
      </c>
      <c r="C734" s="6">
        <v>45056</v>
      </c>
      <c r="D734" s="2" t="s">
        <v>751</v>
      </c>
      <c r="E734" s="2" t="s">
        <v>17</v>
      </c>
      <c r="F734" s="2">
        <v>54</v>
      </c>
      <c r="G734" s="2" t="s">
        <v>21</v>
      </c>
      <c r="H734" s="2">
        <v>4</v>
      </c>
      <c r="I734" s="2">
        <v>500</v>
      </c>
      <c r="J734" s="2">
        <v>2000</v>
      </c>
    </row>
    <row r="735" spans="2:10" x14ac:dyDescent="0.25">
      <c r="B735" s="2">
        <v>732</v>
      </c>
      <c r="C735" s="6">
        <v>44968</v>
      </c>
      <c r="D735" s="2" t="s">
        <v>752</v>
      </c>
      <c r="E735" s="2" t="s">
        <v>17</v>
      </c>
      <c r="F735" s="2">
        <v>61</v>
      </c>
      <c r="G735" s="2" t="s">
        <v>23</v>
      </c>
      <c r="H735" s="2">
        <v>2</v>
      </c>
      <c r="I735" s="2">
        <v>500</v>
      </c>
      <c r="J735" s="2">
        <v>1000</v>
      </c>
    </row>
    <row r="736" spans="2:10" x14ac:dyDescent="0.25">
      <c r="B736" s="2">
        <v>733</v>
      </c>
      <c r="C736" s="6">
        <v>45167</v>
      </c>
      <c r="D736" s="2" t="s">
        <v>753</v>
      </c>
      <c r="E736" s="2" t="s">
        <v>17</v>
      </c>
      <c r="F736" s="2">
        <v>34</v>
      </c>
      <c r="G736" s="2" t="s">
        <v>18</v>
      </c>
      <c r="H736" s="2">
        <v>1</v>
      </c>
      <c r="I736" s="2">
        <v>30</v>
      </c>
      <c r="J736" s="2">
        <v>30</v>
      </c>
    </row>
    <row r="737" spans="2:10" x14ac:dyDescent="0.25">
      <c r="B737" s="2">
        <v>734</v>
      </c>
      <c r="C737" s="6">
        <v>44936</v>
      </c>
      <c r="D737" s="2" t="s">
        <v>754</v>
      </c>
      <c r="E737" s="2" t="s">
        <v>20</v>
      </c>
      <c r="F737" s="2">
        <v>27</v>
      </c>
      <c r="G737" s="2" t="s">
        <v>21</v>
      </c>
      <c r="H737" s="2">
        <v>1</v>
      </c>
      <c r="I737" s="2">
        <v>30</v>
      </c>
      <c r="J737" s="2">
        <v>30</v>
      </c>
    </row>
    <row r="738" spans="2:10" x14ac:dyDescent="0.25">
      <c r="B738" s="2">
        <v>735</v>
      </c>
      <c r="C738" s="6">
        <v>45203</v>
      </c>
      <c r="D738" s="2" t="s">
        <v>755</v>
      </c>
      <c r="E738" s="2" t="s">
        <v>20</v>
      </c>
      <c r="F738" s="2">
        <v>64</v>
      </c>
      <c r="G738" s="2" t="s">
        <v>21</v>
      </c>
      <c r="H738" s="2">
        <v>4</v>
      </c>
      <c r="I738" s="2">
        <v>500</v>
      </c>
      <c r="J738" s="2">
        <v>2000</v>
      </c>
    </row>
    <row r="739" spans="2:10" x14ac:dyDescent="0.25">
      <c r="B739" s="2">
        <v>736</v>
      </c>
      <c r="C739" s="6">
        <v>44953</v>
      </c>
      <c r="D739" s="2" t="s">
        <v>756</v>
      </c>
      <c r="E739" s="2" t="s">
        <v>17</v>
      </c>
      <c r="F739" s="2">
        <v>29</v>
      </c>
      <c r="G739" s="2" t="s">
        <v>21</v>
      </c>
      <c r="H739" s="2">
        <v>4</v>
      </c>
      <c r="I739" s="2">
        <v>25</v>
      </c>
      <c r="J739" s="2">
        <v>100</v>
      </c>
    </row>
    <row r="740" spans="2:10" x14ac:dyDescent="0.25">
      <c r="B740" s="2">
        <v>737</v>
      </c>
      <c r="C740" s="6">
        <v>45106</v>
      </c>
      <c r="D740" s="2" t="s">
        <v>757</v>
      </c>
      <c r="E740" s="2" t="s">
        <v>20</v>
      </c>
      <c r="F740" s="2">
        <v>33</v>
      </c>
      <c r="G740" s="2" t="s">
        <v>21</v>
      </c>
      <c r="H740" s="2">
        <v>1</v>
      </c>
      <c r="I740" s="2">
        <v>50</v>
      </c>
      <c r="J740" s="2">
        <v>50</v>
      </c>
    </row>
    <row r="741" spans="2:10" x14ac:dyDescent="0.25">
      <c r="B741" s="2">
        <v>738</v>
      </c>
      <c r="C741" s="6">
        <v>45041</v>
      </c>
      <c r="D741" s="2" t="s">
        <v>758</v>
      </c>
      <c r="E741" s="2" t="s">
        <v>17</v>
      </c>
      <c r="F741" s="2">
        <v>41</v>
      </c>
      <c r="G741" s="2" t="s">
        <v>21</v>
      </c>
      <c r="H741" s="2">
        <v>2</v>
      </c>
      <c r="I741" s="2">
        <v>50</v>
      </c>
      <c r="J741" s="2">
        <v>100</v>
      </c>
    </row>
    <row r="742" spans="2:10" x14ac:dyDescent="0.25">
      <c r="B742" s="2">
        <v>739</v>
      </c>
      <c r="C742" s="6">
        <v>45259</v>
      </c>
      <c r="D742" s="2" t="s">
        <v>759</v>
      </c>
      <c r="E742" s="2" t="s">
        <v>17</v>
      </c>
      <c r="F742" s="2">
        <v>36</v>
      </c>
      <c r="G742" s="2" t="s">
        <v>18</v>
      </c>
      <c r="H742" s="2">
        <v>1</v>
      </c>
      <c r="I742" s="2">
        <v>25</v>
      </c>
      <c r="J742" s="2">
        <v>25</v>
      </c>
    </row>
    <row r="743" spans="2:10" x14ac:dyDescent="0.25">
      <c r="B743" s="2">
        <v>740</v>
      </c>
      <c r="C743" s="6">
        <v>44962</v>
      </c>
      <c r="D743" s="2" t="s">
        <v>760</v>
      </c>
      <c r="E743" s="2" t="s">
        <v>20</v>
      </c>
      <c r="F743" s="2">
        <v>25</v>
      </c>
      <c r="G743" s="2" t="s">
        <v>18</v>
      </c>
      <c r="H743" s="2">
        <v>4</v>
      </c>
      <c r="I743" s="2">
        <v>50</v>
      </c>
      <c r="J743" s="2">
        <v>200</v>
      </c>
    </row>
    <row r="744" spans="2:10" x14ac:dyDescent="0.25">
      <c r="B744" s="2">
        <v>741</v>
      </c>
      <c r="C744" s="6">
        <v>45260</v>
      </c>
      <c r="D744" s="2" t="s">
        <v>761</v>
      </c>
      <c r="E744" s="2" t="s">
        <v>17</v>
      </c>
      <c r="F744" s="2">
        <v>48</v>
      </c>
      <c r="G744" s="2" t="s">
        <v>21</v>
      </c>
      <c r="H744" s="2">
        <v>1</v>
      </c>
      <c r="I744" s="2">
        <v>300</v>
      </c>
      <c r="J744" s="2">
        <v>300</v>
      </c>
    </row>
    <row r="745" spans="2:10" x14ac:dyDescent="0.25">
      <c r="B745" s="2">
        <v>742</v>
      </c>
      <c r="C745" s="6">
        <v>44947</v>
      </c>
      <c r="D745" s="2" t="s">
        <v>762</v>
      </c>
      <c r="E745" s="2" t="s">
        <v>20</v>
      </c>
      <c r="F745" s="2">
        <v>38</v>
      </c>
      <c r="G745" s="2" t="s">
        <v>23</v>
      </c>
      <c r="H745" s="2">
        <v>4</v>
      </c>
      <c r="I745" s="2">
        <v>500</v>
      </c>
      <c r="J745" s="2">
        <v>2000</v>
      </c>
    </row>
    <row r="746" spans="2:10" x14ac:dyDescent="0.25">
      <c r="B746" s="2">
        <v>743</v>
      </c>
      <c r="C746" s="6">
        <v>44942</v>
      </c>
      <c r="D746" s="2" t="s">
        <v>763</v>
      </c>
      <c r="E746" s="2" t="s">
        <v>20</v>
      </c>
      <c r="F746" s="2">
        <v>34</v>
      </c>
      <c r="G746" s="2" t="s">
        <v>18</v>
      </c>
      <c r="H746" s="2">
        <v>4</v>
      </c>
      <c r="I746" s="2">
        <v>500</v>
      </c>
      <c r="J746" s="2">
        <v>2000</v>
      </c>
    </row>
    <row r="747" spans="2:10" x14ac:dyDescent="0.25">
      <c r="B747" s="2">
        <v>744</v>
      </c>
      <c r="C747" s="6">
        <v>45053</v>
      </c>
      <c r="D747" s="2" t="s">
        <v>764</v>
      </c>
      <c r="E747" s="2" t="s">
        <v>17</v>
      </c>
      <c r="F747" s="2">
        <v>40</v>
      </c>
      <c r="G747" s="2" t="s">
        <v>23</v>
      </c>
      <c r="H747" s="2">
        <v>1</v>
      </c>
      <c r="I747" s="2">
        <v>25</v>
      </c>
      <c r="J747" s="2">
        <v>25</v>
      </c>
    </row>
    <row r="748" spans="2:10" x14ac:dyDescent="0.25">
      <c r="B748" s="2">
        <v>745</v>
      </c>
      <c r="C748" s="6">
        <v>45029</v>
      </c>
      <c r="D748" s="2" t="s">
        <v>765</v>
      </c>
      <c r="E748" s="2" t="s">
        <v>17</v>
      </c>
      <c r="F748" s="2">
        <v>54</v>
      </c>
      <c r="G748" s="2" t="s">
        <v>18</v>
      </c>
      <c r="H748" s="2">
        <v>2</v>
      </c>
      <c r="I748" s="2">
        <v>50</v>
      </c>
      <c r="J748" s="2">
        <v>100</v>
      </c>
    </row>
    <row r="749" spans="2:10" x14ac:dyDescent="0.25">
      <c r="B749" s="2">
        <v>746</v>
      </c>
      <c r="C749" s="6">
        <v>44937</v>
      </c>
      <c r="D749" s="2" t="s">
        <v>766</v>
      </c>
      <c r="E749" s="2" t="s">
        <v>20</v>
      </c>
      <c r="F749" s="2">
        <v>33</v>
      </c>
      <c r="G749" s="2" t="s">
        <v>21</v>
      </c>
      <c r="H749" s="2">
        <v>3</v>
      </c>
      <c r="I749" s="2">
        <v>30</v>
      </c>
      <c r="J749" s="2">
        <v>90</v>
      </c>
    </row>
    <row r="750" spans="2:10" x14ac:dyDescent="0.25">
      <c r="B750" s="2">
        <v>747</v>
      </c>
      <c r="C750" s="6">
        <v>45245</v>
      </c>
      <c r="D750" s="2" t="s">
        <v>767</v>
      </c>
      <c r="E750" s="2" t="s">
        <v>17</v>
      </c>
      <c r="F750" s="2">
        <v>23</v>
      </c>
      <c r="G750" s="2" t="s">
        <v>18</v>
      </c>
      <c r="H750" s="2">
        <v>1</v>
      </c>
      <c r="I750" s="2">
        <v>30</v>
      </c>
      <c r="J750" s="2">
        <v>30</v>
      </c>
    </row>
    <row r="751" spans="2:10" x14ac:dyDescent="0.25">
      <c r="B751" s="2">
        <v>748</v>
      </c>
      <c r="C751" s="6">
        <v>45005</v>
      </c>
      <c r="D751" s="2" t="s">
        <v>768</v>
      </c>
      <c r="E751" s="2" t="s">
        <v>17</v>
      </c>
      <c r="F751" s="2">
        <v>25</v>
      </c>
      <c r="G751" s="2" t="s">
        <v>21</v>
      </c>
      <c r="H751" s="2">
        <v>3</v>
      </c>
      <c r="I751" s="2">
        <v>50</v>
      </c>
      <c r="J751" s="2">
        <v>150</v>
      </c>
    </row>
    <row r="752" spans="2:10" x14ac:dyDescent="0.25">
      <c r="B752" s="2">
        <v>749</v>
      </c>
      <c r="C752" s="6">
        <v>45049</v>
      </c>
      <c r="D752" s="2" t="s">
        <v>769</v>
      </c>
      <c r="E752" s="2" t="s">
        <v>17</v>
      </c>
      <c r="F752" s="2">
        <v>42</v>
      </c>
      <c r="G752" s="2" t="s">
        <v>18</v>
      </c>
      <c r="H752" s="2">
        <v>1</v>
      </c>
      <c r="I752" s="2">
        <v>30</v>
      </c>
      <c r="J752" s="2">
        <v>30</v>
      </c>
    </row>
    <row r="753" spans="2:10" x14ac:dyDescent="0.25">
      <c r="B753" s="2">
        <v>750</v>
      </c>
      <c r="C753" s="6">
        <v>44991</v>
      </c>
      <c r="D753" s="2" t="s">
        <v>770</v>
      </c>
      <c r="E753" s="2" t="s">
        <v>20</v>
      </c>
      <c r="F753" s="2">
        <v>35</v>
      </c>
      <c r="G753" s="2" t="s">
        <v>21</v>
      </c>
      <c r="H753" s="2">
        <v>3</v>
      </c>
      <c r="I753" s="2">
        <v>25</v>
      </c>
      <c r="J753" s="2">
        <v>75</v>
      </c>
    </row>
    <row r="754" spans="2:10" x14ac:dyDescent="0.25">
      <c r="B754" s="2">
        <v>751</v>
      </c>
      <c r="C754" s="6">
        <v>45169</v>
      </c>
      <c r="D754" s="2" t="s">
        <v>771</v>
      </c>
      <c r="E754" s="2" t="s">
        <v>20</v>
      </c>
      <c r="F754" s="2">
        <v>42</v>
      </c>
      <c r="G754" s="2" t="s">
        <v>21</v>
      </c>
      <c r="H754" s="2">
        <v>2</v>
      </c>
      <c r="I754" s="2">
        <v>25</v>
      </c>
      <c r="J754" s="2">
        <v>50</v>
      </c>
    </row>
    <row r="755" spans="2:10" x14ac:dyDescent="0.25">
      <c r="B755" s="2">
        <v>752</v>
      </c>
      <c r="C755" s="6">
        <v>45269</v>
      </c>
      <c r="D755" s="2" t="s">
        <v>772</v>
      </c>
      <c r="E755" s="2" t="s">
        <v>17</v>
      </c>
      <c r="F755" s="2">
        <v>29</v>
      </c>
      <c r="G755" s="2" t="s">
        <v>21</v>
      </c>
      <c r="H755" s="2">
        <v>2</v>
      </c>
      <c r="I755" s="2">
        <v>50</v>
      </c>
      <c r="J755" s="2">
        <v>100</v>
      </c>
    </row>
    <row r="756" spans="2:10" x14ac:dyDescent="0.25">
      <c r="B756" s="2">
        <v>753</v>
      </c>
      <c r="C756" s="6">
        <v>44985</v>
      </c>
      <c r="D756" s="2" t="s">
        <v>773</v>
      </c>
      <c r="E756" s="2" t="s">
        <v>20</v>
      </c>
      <c r="F756" s="2">
        <v>32</v>
      </c>
      <c r="G756" s="2" t="s">
        <v>21</v>
      </c>
      <c r="H756" s="2">
        <v>1</v>
      </c>
      <c r="I756" s="2">
        <v>30</v>
      </c>
      <c r="J756" s="2">
        <v>30</v>
      </c>
    </row>
    <row r="757" spans="2:10" x14ac:dyDescent="0.25">
      <c r="B757" s="2">
        <v>754</v>
      </c>
      <c r="C757" s="6">
        <v>45215</v>
      </c>
      <c r="D757" s="2" t="s">
        <v>774</v>
      </c>
      <c r="E757" s="2" t="s">
        <v>20</v>
      </c>
      <c r="F757" s="2">
        <v>43</v>
      </c>
      <c r="G757" s="2" t="s">
        <v>23</v>
      </c>
      <c r="H757" s="2">
        <v>4</v>
      </c>
      <c r="I757" s="2">
        <v>25</v>
      </c>
      <c r="J757" s="2">
        <v>100</v>
      </c>
    </row>
    <row r="758" spans="2:10" x14ac:dyDescent="0.25">
      <c r="B758" s="2">
        <v>755</v>
      </c>
      <c r="C758" s="6">
        <v>45038</v>
      </c>
      <c r="D758" s="2" t="s">
        <v>775</v>
      </c>
      <c r="E758" s="2" t="s">
        <v>20</v>
      </c>
      <c r="F758" s="2">
        <v>58</v>
      </c>
      <c r="G758" s="2" t="s">
        <v>21</v>
      </c>
      <c r="H758" s="2">
        <v>3</v>
      </c>
      <c r="I758" s="2">
        <v>25</v>
      </c>
      <c r="J758" s="2">
        <v>75</v>
      </c>
    </row>
    <row r="759" spans="2:10" x14ac:dyDescent="0.25">
      <c r="B759" s="2">
        <v>756</v>
      </c>
      <c r="C759" s="6">
        <v>45165</v>
      </c>
      <c r="D759" s="2" t="s">
        <v>776</v>
      </c>
      <c r="E759" s="2" t="s">
        <v>20</v>
      </c>
      <c r="F759" s="2">
        <v>62</v>
      </c>
      <c r="G759" s="2" t="s">
        <v>23</v>
      </c>
      <c r="H759" s="2">
        <v>4</v>
      </c>
      <c r="I759" s="2">
        <v>300</v>
      </c>
      <c r="J759" s="2">
        <v>1200</v>
      </c>
    </row>
    <row r="760" spans="2:10" x14ac:dyDescent="0.25">
      <c r="B760" s="2">
        <v>757</v>
      </c>
      <c r="C760" s="6">
        <v>45285</v>
      </c>
      <c r="D760" s="2" t="s">
        <v>777</v>
      </c>
      <c r="E760" s="2" t="s">
        <v>20</v>
      </c>
      <c r="F760" s="2">
        <v>43</v>
      </c>
      <c r="G760" s="2" t="s">
        <v>23</v>
      </c>
      <c r="H760" s="2">
        <v>4</v>
      </c>
      <c r="I760" s="2">
        <v>300</v>
      </c>
      <c r="J760" s="2">
        <v>1200</v>
      </c>
    </row>
    <row r="761" spans="2:10" x14ac:dyDescent="0.25">
      <c r="B761" s="2">
        <v>758</v>
      </c>
      <c r="C761" s="6">
        <v>45058</v>
      </c>
      <c r="D761" s="2" t="s">
        <v>778</v>
      </c>
      <c r="E761" s="2" t="s">
        <v>17</v>
      </c>
      <c r="F761" s="2">
        <v>64</v>
      </c>
      <c r="G761" s="2" t="s">
        <v>21</v>
      </c>
      <c r="H761" s="2">
        <v>4</v>
      </c>
      <c r="I761" s="2">
        <v>25</v>
      </c>
      <c r="J761" s="2">
        <v>100</v>
      </c>
    </row>
    <row r="762" spans="2:10" x14ac:dyDescent="0.25">
      <c r="B762" s="2">
        <v>759</v>
      </c>
      <c r="C762" s="6">
        <v>45115</v>
      </c>
      <c r="D762" s="2" t="s">
        <v>779</v>
      </c>
      <c r="E762" s="2" t="s">
        <v>17</v>
      </c>
      <c r="F762" s="2">
        <v>49</v>
      </c>
      <c r="G762" s="2" t="s">
        <v>23</v>
      </c>
      <c r="H762" s="2">
        <v>2</v>
      </c>
      <c r="I762" s="2">
        <v>50</v>
      </c>
      <c r="J762" s="2">
        <v>100</v>
      </c>
    </row>
    <row r="763" spans="2:10" x14ac:dyDescent="0.25">
      <c r="B763" s="2">
        <v>760</v>
      </c>
      <c r="C763" s="6">
        <v>45012</v>
      </c>
      <c r="D763" s="2" t="s">
        <v>780</v>
      </c>
      <c r="E763" s="2" t="s">
        <v>17</v>
      </c>
      <c r="F763" s="2">
        <v>27</v>
      </c>
      <c r="G763" s="2" t="s">
        <v>18</v>
      </c>
      <c r="H763" s="2">
        <v>1</v>
      </c>
      <c r="I763" s="2">
        <v>500</v>
      </c>
      <c r="J763" s="2">
        <v>500</v>
      </c>
    </row>
    <row r="764" spans="2:10" x14ac:dyDescent="0.25">
      <c r="B764" s="2">
        <v>761</v>
      </c>
      <c r="C764" s="6">
        <v>45237</v>
      </c>
      <c r="D764" s="2" t="s">
        <v>781</v>
      </c>
      <c r="E764" s="2" t="s">
        <v>20</v>
      </c>
      <c r="F764" s="2">
        <v>33</v>
      </c>
      <c r="G764" s="2" t="s">
        <v>21</v>
      </c>
      <c r="H764" s="2">
        <v>1</v>
      </c>
      <c r="I764" s="2">
        <v>500</v>
      </c>
      <c r="J764" s="2">
        <v>500</v>
      </c>
    </row>
    <row r="765" spans="2:10" x14ac:dyDescent="0.25">
      <c r="B765" s="2">
        <v>762</v>
      </c>
      <c r="C765" s="6">
        <v>45237</v>
      </c>
      <c r="D765" s="2" t="s">
        <v>782</v>
      </c>
      <c r="E765" s="2" t="s">
        <v>20</v>
      </c>
      <c r="F765" s="2">
        <v>24</v>
      </c>
      <c r="G765" s="2" t="s">
        <v>23</v>
      </c>
      <c r="H765" s="2">
        <v>2</v>
      </c>
      <c r="I765" s="2">
        <v>25</v>
      </c>
      <c r="J765" s="2">
        <v>50</v>
      </c>
    </row>
    <row r="766" spans="2:10" x14ac:dyDescent="0.25">
      <c r="B766" s="2">
        <v>763</v>
      </c>
      <c r="C766" s="6">
        <v>44985</v>
      </c>
      <c r="D766" s="2" t="s">
        <v>783</v>
      </c>
      <c r="E766" s="2" t="s">
        <v>17</v>
      </c>
      <c r="F766" s="2">
        <v>34</v>
      </c>
      <c r="G766" s="2" t="s">
        <v>21</v>
      </c>
      <c r="H766" s="2">
        <v>2</v>
      </c>
      <c r="I766" s="2">
        <v>25</v>
      </c>
      <c r="J766" s="2">
        <v>50</v>
      </c>
    </row>
    <row r="767" spans="2:10" x14ac:dyDescent="0.25">
      <c r="B767" s="2">
        <v>764</v>
      </c>
      <c r="C767" s="6">
        <v>45010</v>
      </c>
      <c r="D767" s="2" t="s">
        <v>784</v>
      </c>
      <c r="E767" s="2" t="s">
        <v>20</v>
      </c>
      <c r="F767" s="2">
        <v>40</v>
      </c>
      <c r="G767" s="2" t="s">
        <v>21</v>
      </c>
      <c r="H767" s="2">
        <v>1</v>
      </c>
      <c r="I767" s="2">
        <v>25</v>
      </c>
      <c r="J767" s="2">
        <v>25</v>
      </c>
    </row>
    <row r="768" spans="2:10" x14ac:dyDescent="0.25">
      <c r="B768" s="2">
        <v>765</v>
      </c>
      <c r="C768" s="6">
        <v>45086</v>
      </c>
      <c r="D768" s="2" t="s">
        <v>785</v>
      </c>
      <c r="E768" s="2" t="s">
        <v>17</v>
      </c>
      <c r="F768" s="2">
        <v>43</v>
      </c>
      <c r="G768" s="2" t="s">
        <v>21</v>
      </c>
      <c r="H768" s="2">
        <v>4</v>
      </c>
      <c r="I768" s="2">
        <v>50</v>
      </c>
      <c r="J768" s="2">
        <v>200</v>
      </c>
    </row>
    <row r="769" spans="2:10" x14ac:dyDescent="0.25">
      <c r="B769" s="2">
        <v>766</v>
      </c>
      <c r="C769" s="6">
        <v>44982</v>
      </c>
      <c r="D769" s="2" t="s">
        <v>786</v>
      </c>
      <c r="E769" s="2" t="s">
        <v>17</v>
      </c>
      <c r="F769" s="2">
        <v>38</v>
      </c>
      <c r="G769" s="2" t="s">
        <v>23</v>
      </c>
      <c r="H769" s="2">
        <v>3</v>
      </c>
      <c r="I769" s="2">
        <v>300</v>
      </c>
      <c r="J769" s="2">
        <v>900</v>
      </c>
    </row>
    <row r="770" spans="2:10" x14ac:dyDescent="0.25">
      <c r="B770" s="2">
        <v>767</v>
      </c>
      <c r="C770" s="6">
        <v>45223</v>
      </c>
      <c r="D770" s="2" t="s">
        <v>787</v>
      </c>
      <c r="E770" s="2" t="s">
        <v>17</v>
      </c>
      <c r="F770" s="2">
        <v>39</v>
      </c>
      <c r="G770" s="2" t="s">
        <v>18</v>
      </c>
      <c r="H770" s="2">
        <v>3</v>
      </c>
      <c r="I770" s="2">
        <v>25</v>
      </c>
      <c r="J770" s="2">
        <v>75</v>
      </c>
    </row>
    <row r="771" spans="2:10" x14ac:dyDescent="0.25">
      <c r="B771" s="2">
        <v>768</v>
      </c>
      <c r="C771" s="6">
        <v>44940</v>
      </c>
      <c r="D771" s="2" t="s">
        <v>788</v>
      </c>
      <c r="E771" s="2" t="s">
        <v>20</v>
      </c>
      <c r="F771" s="2">
        <v>24</v>
      </c>
      <c r="G771" s="2" t="s">
        <v>18</v>
      </c>
      <c r="H771" s="2">
        <v>3</v>
      </c>
      <c r="I771" s="2">
        <v>25</v>
      </c>
      <c r="J771" s="2">
        <v>75</v>
      </c>
    </row>
    <row r="772" spans="2:10" x14ac:dyDescent="0.25">
      <c r="B772" s="2">
        <v>769</v>
      </c>
      <c r="C772" s="6">
        <v>45086</v>
      </c>
      <c r="D772" s="2" t="s">
        <v>789</v>
      </c>
      <c r="E772" s="2" t="s">
        <v>20</v>
      </c>
      <c r="F772" s="2">
        <v>31</v>
      </c>
      <c r="G772" s="2" t="s">
        <v>23</v>
      </c>
      <c r="H772" s="2">
        <v>4</v>
      </c>
      <c r="I772" s="2">
        <v>30</v>
      </c>
      <c r="J772" s="2">
        <v>120</v>
      </c>
    </row>
    <row r="773" spans="2:10" x14ac:dyDescent="0.25">
      <c r="B773" s="2">
        <v>770</v>
      </c>
      <c r="C773" s="6">
        <v>45221</v>
      </c>
      <c r="D773" s="2" t="s">
        <v>790</v>
      </c>
      <c r="E773" s="2" t="s">
        <v>17</v>
      </c>
      <c r="F773" s="2">
        <v>32</v>
      </c>
      <c r="G773" s="2" t="s">
        <v>21</v>
      </c>
      <c r="H773" s="2">
        <v>1</v>
      </c>
      <c r="I773" s="2">
        <v>50</v>
      </c>
      <c r="J773" s="2">
        <v>50</v>
      </c>
    </row>
    <row r="774" spans="2:10" x14ac:dyDescent="0.25">
      <c r="B774" s="2">
        <v>771</v>
      </c>
      <c r="C774" s="6">
        <v>45273</v>
      </c>
      <c r="D774" s="2" t="s">
        <v>791</v>
      </c>
      <c r="E774" s="2" t="s">
        <v>17</v>
      </c>
      <c r="F774" s="2">
        <v>24</v>
      </c>
      <c r="G774" s="2" t="s">
        <v>23</v>
      </c>
      <c r="H774" s="2">
        <v>2</v>
      </c>
      <c r="I774" s="2">
        <v>25</v>
      </c>
      <c r="J774" s="2">
        <v>50</v>
      </c>
    </row>
    <row r="775" spans="2:10" x14ac:dyDescent="0.25">
      <c r="B775" s="2">
        <v>772</v>
      </c>
      <c r="C775" s="6">
        <v>45119</v>
      </c>
      <c r="D775" s="2" t="s">
        <v>792</v>
      </c>
      <c r="E775" s="2" t="s">
        <v>17</v>
      </c>
      <c r="F775" s="2">
        <v>26</v>
      </c>
      <c r="G775" s="2" t="s">
        <v>23</v>
      </c>
      <c r="H775" s="2">
        <v>1</v>
      </c>
      <c r="I775" s="2">
        <v>30</v>
      </c>
      <c r="J775" s="2">
        <v>30</v>
      </c>
    </row>
    <row r="776" spans="2:10" x14ac:dyDescent="0.25">
      <c r="B776" s="2">
        <v>773</v>
      </c>
      <c r="C776" s="6">
        <v>45130</v>
      </c>
      <c r="D776" s="2" t="s">
        <v>793</v>
      </c>
      <c r="E776" s="2" t="s">
        <v>17</v>
      </c>
      <c r="F776" s="2">
        <v>25</v>
      </c>
      <c r="G776" s="2" t="s">
        <v>23</v>
      </c>
      <c r="H776" s="2">
        <v>4</v>
      </c>
      <c r="I776" s="2">
        <v>500</v>
      </c>
      <c r="J776" s="2">
        <v>2000</v>
      </c>
    </row>
    <row r="777" spans="2:10" x14ac:dyDescent="0.25">
      <c r="B777" s="2">
        <v>774</v>
      </c>
      <c r="C777" s="6">
        <v>45028</v>
      </c>
      <c r="D777" s="2" t="s">
        <v>794</v>
      </c>
      <c r="E777" s="2" t="s">
        <v>20</v>
      </c>
      <c r="F777" s="2">
        <v>40</v>
      </c>
      <c r="G777" s="2" t="s">
        <v>21</v>
      </c>
      <c r="H777" s="2">
        <v>2</v>
      </c>
      <c r="I777" s="2">
        <v>25</v>
      </c>
      <c r="J777" s="2">
        <v>50</v>
      </c>
    </row>
    <row r="778" spans="2:10" x14ac:dyDescent="0.25">
      <c r="B778" s="2">
        <v>775</v>
      </c>
      <c r="C778" s="6">
        <v>44965</v>
      </c>
      <c r="D778" s="2" t="s">
        <v>795</v>
      </c>
      <c r="E778" s="2" t="s">
        <v>20</v>
      </c>
      <c r="F778" s="2">
        <v>46</v>
      </c>
      <c r="G778" s="2" t="s">
        <v>23</v>
      </c>
      <c r="H778" s="2">
        <v>4</v>
      </c>
      <c r="I778" s="2">
        <v>25</v>
      </c>
      <c r="J778" s="2">
        <v>100</v>
      </c>
    </row>
    <row r="779" spans="2:10" x14ac:dyDescent="0.25">
      <c r="B779" s="2">
        <v>776</v>
      </c>
      <c r="C779" s="6">
        <v>45230</v>
      </c>
      <c r="D779" s="2" t="s">
        <v>796</v>
      </c>
      <c r="E779" s="2" t="s">
        <v>17</v>
      </c>
      <c r="F779" s="2">
        <v>35</v>
      </c>
      <c r="G779" s="2" t="s">
        <v>21</v>
      </c>
      <c r="H779" s="2">
        <v>3</v>
      </c>
      <c r="I779" s="2">
        <v>30</v>
      </c>
      <c r="J779" s="2">
        <v>90</v>
      </c>
    </row>
    <row r="780" spans="2:10" x14ac:dyDescent="0.25">
      <c r="B780" s="2">
        <v>777</v>
      </c>
      <c r="C780" s="6">
        <v>45280</v>
      </c>
      <c r="D780" s="2" t="s">
        <v>797</v>
      </c>
      <c r="E780" s="2" t="s">
        <v>17</v>
      </c>
      <c r="F780" s="2">
        <v>48</v>
      </c>
      <c r="G780" s="2" t="s">
        <v>23</v>
      </c>
      <c r="H780" s="2">
        <v>3</v>
      </c>
      <c r="I780" s="2">
        <v>50</v>
      </c>
      <c r="J780" s="2">
        <v>150</v>
      </c>
    </row>
    <row r="781" spans="2:10" x14ac:dyDescent="0.25">
      <c r="B781" s="2">
        <v>778</v>
      </c>
      <c r="C781" s="6">
        <v>45248</v>
      </c>
      <c r="D781" s="2" t="s">
        <v>798</v>
      </c>
      <c r="E781" s="2" t="s">
        <v>20</v>
      </c>
      <c r="F781" s="2">
        <v>47</v>
      </c>
      <c r="G781" s="2" t="s">
        <v>18</v>
      </c>
      <c r="H781" s="2">
        <v>4</v>
      </c>
      <c r="I781" s="2">
        <v>25</v>
      </c>
      <c r="J781" s="2">
        <v>100</v>
      </c>
    </row>
    <row r="782" spans="2:10" x14ac:dyDescent="0.25">
      <c r="B782" s="2">
        <v>779</v>
      </c>
      <c r="C782" s="6">
        <v>45051</v>
      </c>
      <c r="D782" s="2" t="s">
        <v>799</v>
      </c>
      <c r="E782" s="2" t="s">
        <v>20</v>
      </c>
      <c r="F782" s="2">
        <v>56</v>
      </c>
      <c r="G782" s="2" t="s">
        <v>23</v>
      </c>
      <c r="H782" s="2">
        <v>2</v>
      </c>
      <c r="I782" s="2">
        <v>500</v>
      </c>
      <c r="J782" s="2">
        <v>1000</v>
      </c>
    </row>
    <row r="783" spans="2:10" x14ac:dyDescent="0.25">
      <c r="B783" s="2">
        <v>780</v>
      </c>
      <c r="C783" s="6">
        <v>44979</v>
      </c>
      <c r="D783" s="2" t="s">
        <v>800</v>
      </c>
      <c r="E783" s="2" t="s">
        <v>17</v>
      </c>
      <c r="F783" s="2">
        <v>52</v>
      </c>
      <c r="G783" s="2" t="s">
        <v>23</v>
      </c>
      <c r="H783" s="2">
        <v>2</v>
      </c>
      <c r="I783" s="2">
        <v>25</v>
      </c>
      <c r="J783" s="2">
        <v>50</v>
      </c>
    </row>
    <row r="784" spans="2:10" x14ac:dyDescent="0.25">
      <c r="B784" s="2">
        <v>781</v>
      </c>
      <c r="C784" s="6">
        <v>45283</v>
      </c>
      <c r="D784" s="2" t="s">
        <v>801</v>
      </c>
      <c r="E784" s="2" t="s">
        <v>17</v>
      </c>
      <c r="F784" s="2">
        <v>35</v>
      </c>
      <c r="G784" s="2" t="s">
        <v>18</v>
      </c>
      <c r="H784" s="2">
        <v>1</v>
      </c>
      <c r="I784" s="2">
        <v>500</v>
      </c>
      <c r="J784" s="2">
        <v>500</v>
      </c>
    </row>
    <row r="785" spans="2:10" x14ac:dyDescent="0.25">
      <c r="B785" s="2">
        <v>782</v>
      </c>
      <c r="C785" s="6">
        <v>45081</v>
      </c>
      <c r="D785" s="2" t="s">
        <v>802</v>
      </c>
      <c r="E785" s="2" t="s">
        <v>17</v>
      </c>
      <c r="F785" s="2">
        <v>59</v>
      </c>
      <c r="G785" s="2" t="s">
        <v>21</v>
      </c>
      <c r="H785" s="2">
        <v>3</v>
      </c>
      <c r="I785" s="2">
        <v>300</v>
      </c>
      <c r="J785" s="2">
        <v>900</v>
      </c>
    </row>
    <row r="786" spans="2:10" x14ac:dyDescent="0.25">
      <c r="B786" s="2">
        <v>783</v>
      </c>
      <c r="C786" s="6">
        <v>45277</v>
      </c>
      <c r="D786" s="2" t="s">
        <v>803</v>
      </c>
      <c r="E786" s="2" t="s">
        <v>20</v>
      </c>
      <c r="F786" s="2">
        <v>56</v>
      </c>
      <c r="G786" s="2" t="s">
        <v>21</v>
      </c>
      <c r="H786" s="2">
        <v>1</v>
      </c>
      <c r="I786" s="2">
        <v>300</v>
      </c>
      <c r="J786" s="2">
        <v>300</v>
      </c>
    </row>
    <row r="787" spans="2:10" x14ac:dyDescent="0.25">
      <c r="B787" s="2">
        <v>784</v>
      </c>
      <c r="C787" s="6">
        <v>45234</v>
      </c>
      <c r="D787" s="2" t="s">
        <v>804</v>
      </c>
      <c r="E787" s="2" t="s">
        <v>20</v>
      </c>
      <c r="F787" s="2">
        <v>34</v>
      </c>
      <c r="G787" s="2" t="s">
        <v>23</v>
      </c>
      <c r="H787" s="2">
        <v>1</v>
      </c>
      <c r="I787" s="2">
        <v>500</v>
      </c>
      <c r="J787" s="2">
        <v>500</v>
      </c>
    </row>
    <row r="788" spans="2:10" x14ac:dyDescent="0.25">
      <c r="B788" s="2">
        <v>785</v>
      </c>
      <c r="C788" s="6">
        <v>44988</v>
      </c>
      <c r="D788" s="2" t="s">
        <v>805</v>
      </c>
      <c r="E788" s="2" t="s">
        <v>20</v>
      </c>
      <c r="F788" s="2">
        <v>31</v>
      </c>
      <c r="G788" s="2" t="s">
        <v>18</v>
      </c>
      <c r="H788" s="2">
        <v>4</v>
      </c>
      <c r="I788" s="2">
        <v>50</v>
      </c>
      <c r="J788" s="2">
        <v>200</v>
      </c>
    </row>
    <row r="789" spans="2:10" x14ac:dyDescent="0.25">
      <c r="B789" s="2">
        <v>786</v>
      </c>
      <c r="C789" s="6">
        <v>45216</v>
      </c>
      <c r="D789" s="2" t="s">
        <v>806</v>
      </c>
      <c r="E789" s="2" t="s">
        <v>17</v>
      </c>
      <c r="F789" s="2">
        <v>48</v>
      </c>
      <c r="G789" s="2" t="s">
        <v>21</v>
      </c>
      <c r="H789" s="2">
        <v>4</v>
      </c>
      <c r="I789" s="2">
        <v>25</v>
      </c>
      <c r="J789" s="2">
        <v>100</v>
      </c>
    </row>
    <row r="790" spans="2:10" x14ac:dyDescent="0.25">
      <c r="B790" s="2">
        <v>787</v>
      </c>
      <c r="C790" s="6">
        <v>44948</v>
      </c>
      <c r="D790" s="2" t="s">
        <v>807</v>
      </c>
      <c r="E790" s="2" t="s">
        <v>17</v>
      </c>
      <c r="F790" s="2">
        <v>41</v>
      </c>
      <c r="G790" s="2" t="s">
        <v>23</v>
      </c>
      <c r="H790" s="2">
        <v>1</v>
      </c>
      <c r="I790" s="2">
        <v>25</v>
      </c>
      <c r="J790" s="2">
        <v>25</v>
      </c>
    </row>
    <row r="791" spans="2:10" x14ac:dyDescent="0.25">
      <c r="B791" s="2">
        <v>788</v>
      </c>
      <c r="C791" s="6">
        <v>45104</v>
      </c>
      <c r="D791" s="2" t="s">
        <v>808</v>
      </c>
      <c r="E791" s="2" t="s">
        <v>20</v>
      </c>
      <c r="F791" s="2">
        <v>52</v>
      </c>
      <c r="G791" s="2" t="s">
        <v>18</v>
      </c>
      <c r="H791" s="2">
        <v>3</v>
      </c>
      <c r="I791" s="2">
        <v>300</v>
      </c>
      <c r="J791" s="2">
        <v>900</v>
      </c>
    </row>
    <row r="792" spans="2:10" x14ac:dyDescent="0.25">
      <c r="B792" s="2">
        <v>789</v>
      </c>
      <c r="C792" s="6">
        <v>45199</v>
      </c>
      <c r="D792" s="2" t="s">
        <v>809</v>
      </c>
      <c r="E792" s="2" t="s">
        <v>20</v>
      </c>
      <c r="F792" s="2">
        <v>61</v>
      </c>
      <c r="G792" s="2" t="s">
        <v>21</v>
      </c>
      <c r="H792" s="2">
        <v>4</v>
      </c>
      <c r="I792" s="2">
        <v>500</v>
      </c>
      <c r="J792" s="2">
        <v>2000</v>
      </c>
    </row>
    <row r="793" spans="2:10" x14ac:dyDescent="0.25">
      <c r="B793" s="2">
        <v>790</v>
      </c>
      <c r="C793" s="6">
        <v>45146</v>
      </c>
      <c r="D793" s="2" t="s">
        <v>810</v>
      </c>
      <c r="E793" s="2" t="s">
        <v>17</v>
      </c>
      <c r="F793" s="2">
        <v>62</v>
      </c>
      <c r="G793" s="2" t="s">
        <v>21</v>
      </c>
      <c r="H793" s="2">
        <v>1</v>
      </c>
      <c r="I793" s="2">
        <v>25</v>
      </c>
      <c r="J793" s="2">
        <v>25</v>
      </c>
    </row>
    <row r="794" spans="2:10" x14ac:dyDescent="0.25">
      <c r="B794" s="2">
        <v>791</v>
      </c>
      <c r="C794" s="6">
        <v>45265</v>
      </c>
      <c r="D794" s="2" t="s">
        <v>811</v>
      </c>
      <c r="E794" s="2" t="s">
        <v>20</v>
      </c>
      <c r="F794" s="2">
        <v>51</v>
      </c>
      <c r="G794" s="2" t="s">
        <v>18</v>
      </c>
      <c r="H794" s="2">
        <v>1</v>
      </c>
      <c r="I794" s="2">
        <v>25</v>
      </c>
      <c r="J794" s="2">
        <v>25</v>
      </c>
    </row>
    <row r="795" spans="2:10" x14ac:dyDescent="0.25">
      <c r="B795" s="2">
        <v>792</v>
      </c>
      <c r="C795" s="6">
        <v>45116</v>
      </c>
      <c r="D795" s="2" t="s">
        <v>812</v>
      </c>
      <c r="E795" s="2" t="s">
        <v>20</v>
      </c>
      <c r="F795" s="2">
        <v>20</v>
      </c>
      <c r="G795" s="2" t="s">
        <v>18</v>
      </c>
      <c r="H795" s="2">
        <v>1</v>
      </c>
      <c r="I795" s="2">
        <v>50</v>
      </c>
      <c r="J795" s="2">
        <v>50</v>
      </c>
    </row>
    <row r="796" spans="2:10" x14ac:dyDescent="0.25">
      <c r="B796" s="2">
        <v>793</v>
      </c>
      <c r="C796" s="6">
        <v>44962</v>
      </c>
      <c r="D796" s="2" t="s">
        <v>813</v>
      </c>
      <c r="E796" s="2" t="s">
        <v>17</v>
      </c>
      <c r="F796" s="2">
        <v>54</v>
      </c>
      <c r="G796" s="2" t="s">
        <v>18</v>
      </c>
      <c r="H796" s="2">
        <v>1</v>
      </c>
      <c r="I796" s="2">
        <v>30</v>
      </c>
      <c r="J796" s="2">
        <v>30</v>
      </c>
    </row>
    <row r="797" spans="2:10" x14ac:dyDescent="0.25">
      <c r="B797" s="2">
        <v>794</v>
      </c>
      <c r="C797" s="6">
        <v>45186</v>
      </c>
      <c r="D797" s="2" t="s">
        <v>814</v>
      </c>
      <c r="E797" s="2" t="s">
        <v>20</v>
      </c>
      <c r="F797" s="2">
        <v>60</v>
      </c>
      <c r="G797" s="2" t="s">
        <v>18</v>
      </c>
      <c r="H797" s="2">
        <v>1</v>
      </c>
      <c r="I797" s="2">
        <v>300</v>
      </c>
      <c r="J797" s="2">
        <v>300</v>
      </c>
    </row>
    <row r="798" spans="2:10" x14ac:dyDescent="0.25">
      <c r="B798" s="2">
        <v>795</v>
      </c>
      <c r="C798" s="6">
        <v>45258</v>
      </c>
      <c r="D798" s="2" t="s">
        <v>815</v>
      </c>
      <c r="E798" s="2" t="s">
        <v>17</v>
      </c>
      <c r="F798" s="2">
        <v>57</v>
      </c>
      <c r="G798" s="2" t="s">
        <v>23</v>
      </c>
      <c r="H798" s="2">
        <v>1</v>
      </c>
      <c r="I798" s="2">
        <v>300</v>
      </c>
      <c r="J798" s="2">
        <v>300</v>
      </c>
    </row>
    <row r="799" spans="2:10" x14ac:dyDescent="0.25">
      <c r="B799" s="2">
        <v>796</v>
      </c>
      <c r="C799" s="6">
        <v>45101</v>
      </c>
      <c r="D799" s="2" t="s">
        <v>816</v>
      </c>
      <c r="E799" s="2" t="s">
        <v>17</v>
      </c>
      <c r="F799" s="2">
        <v>43</v>
      </c>
      <c r="G799" s="2" t="s">
        <v>18</v>
      </c>
      <c r="H799" s="2">
        <v>4</v>
      </c>
      <c r="I799" s="2">
        <v>30</v>
      </c>
      <c r="J799" s="2">
        <v>120</v>
      </c>
    </row>
    <row r="800" spans="2:10" x14ac:dyDescent="0.25">
      <c r="B800" s="2">
        <v>797</v>
      </c>
      <c r="C800" s="6">
        <v>44933</v>
      </c>
      <c r="D800" s="2" t="s">
        <v>817</v>
      </c>
      <c r="E800" s="2" t="s">
        <v>17</v>
      </c>
      <c r="F800" s="2">
        <v>40</v>
      </c>
      <c r="G800" s="2" t="s">
        <v>21</v>
      </c>
      <c r="H800" s="2">
        <v>3</v>
      </c>
      <c r="I800" s="2">
        <v>25</v>
      </c>
      <c r="J800" s="2">
        <v>75</v>
      </c>
    </row>
    <row r="801" spans="2:10" x14ac:dyDescent="0.25">
      <c r="B801" s="2">
        <v>798</v>
      </c>
      <c r="C801" s="6">
        <v>45142</v>
      </c>
      <c r="D801" s="2" t="s">
        <v>818</v>
      </c>
      <c r="E801" s="2" t="s">
        <v>17</v>
      </c>
      <c r="F801" s="2">
        <v>61</v>
      </c>
      <c r="G801" s="2" t="s">
        <v>21</v>
      </c>
      <c r="H801" s="2">
        <v>1</v>
      </c>
      <c r="I801" s="2">
        <v>50</v>
      </c>
      <c r="J801" s="2">
        <v>50</v>
      </c>
    </row>
    <row r="802" spans="2:10" x14ac:dyDescent="0.25">
      <c r="B802" s="2">
        <v>799</v>
      </c>
      <c r="C802" s="6">
        <v>45177</v>
      </c>
      <c r="D802" s="2" t="s">
        <v>819</v>
      </c>
      <c r="E802" s="2" t="s">
        <v>17</v>
      </c>
      <c r="F802" s="2">
        <v>56</v>
      </c>
      <c r="G802" s="2" t="s">
        <v>23</v>
      </c>
      <c r="H802" s="2">
        <v>2</v>
      </c>
      <c r="I802" s="2">
        <v>50</v>
      </c>
      <c r="J802" s="2">
        <v>100</v>
      </c>
    </row>
    <row r="803" spans="2:10" x14ac:dyDescent="0.25">
      <c r="B803" s="2">
        <v>800</v>
      </c>
      <c r="C803" s="6">
        <v>44981</v>
      </c>
      <c r="D803" s="2" t="s">
        <v>820</v>
      </c>
      <c r="E803" s="2" t="s">
        <v>17</v>
      </c>
      <c r="F803" s="2">
        <v>32</v>
      </c>
      <c r="G803" s="2" t="s">
        <v>21</v>
      </c>
      <c r="H803" s="2">
        <v>4</v>
      </c>
      <c r="I803" s="2">
        <v>300</v>
      </c>
      <c r="J803" s="2">
        <v>1200</v>
      </c>
    </row>
    <row r="804" spans="2:10" x14ac:dyDescent="0.25">
      <c r="B804" s="2">
        <v>801</v>
      </c>
      <c r="C804" s="6">
        <v>45148</v>
      </c>
      <c r="D804" s="2" t="s">
        <v>821</v>
      </c>
      <c r="E804" s="2" t="s">
        <v>17</v>
      </c>
      <c r="F804" s="2">
        <v>21</v>
      </c>
      <c r="G804" s="2" t="s">
        <v>21</v>
      </c>
      <c r="H804" s="2">
        <v>4</v>
      </c>
      <c r="I804" s="2">
        <v>50</v>
      </c>
      <c r="J804" s="2">
        <v>200</v>
      </c>
    </row>
    <row r="805" spans="2:10" x14ac:dyDescent="0.25">
      <c r="B805" s="2">
        <v>802</v>
      </c>
      <c r="C805" s="6">
        <v>45112</v>
      </c>
      <c r="D805" s="2" t="s">
        <v>822</v>
      </c>
      <c r="E805" s="2" t="s">
        <v>20</v>
      </c>
      <c r="F805" s="2">
        <v>46</v>
      </c>
      <c r="G805" s="2" t="s">
        <v>18</v>
      </c>
      <c r="H805" s="2">
        <v>1</v>
      </c>
      <c r="I805" s="2">
        <v>30</v>
      </c>
      <c r="J805" s="2">
        <v>30</v>
      </c>
    </row>
    <row r="806" spans="2:10" x14ac:dyDescent="0.25">
      <c r="B806" s="2">
        <v>803</v>
      </c>
      <c r="C806" s="6">
        <v>45252</v>
      </c>
      <c r="D806" s="2" t="s">
        <v>823</v>
      </c>
      <c r="E806" s="2" t="s">
        <v>17</v>
      </c>
      <c r="F806" s="2">
        <v>39</v>
      </c>
      <c r="G806" s="2" t="s">
        <v>21</v>
      </c>
      <c r="H806" s="2">
        <v>4</v>
      </c>
      <c r="I806" s="2">
        <v>25</v>
      </c>
      <c r="J806" s="2">
        <v>100</v>
      </c>
    </row>
    <row r="807" spans="2:10" x14ac:dyDescent="0.25">
      <c r="B807" s="2">
        <v>804</v>
      </c>
      <c r="C807" s="6">
        <v>45162</v>
      </c>
      <c r="D807" s="2" t="s">
        <v>824</v>
      </c>
      <c r="E807" s="2" t="s">
        <v>17</v>
      </c>
      <c r="F807" s="2">
        <v>42</v>
      </c>
      <c r="G807" s="2" t="s">
        <v>23</v>
      </c>
      <c r="H807" s="2">
        <v>1</v>
      </c>
      <c r="I807" s="2">
        <v>30</v>
      </c>
      <c r="J807" s="2">
        <v>30</v>
      </c>
    </row>
    <row r="808" spans="2:10" x14ac:dyDescent="0.25">
      <c r="B808" s="2">
        <v>805</v>
      </c>
      <c r="C808" s="6">
        <v>45289</v>
      </c>
      <c r="D808" s="2" t="s">
        <v>825</v>
      </c>
      <c r="E808" s="2" t="s">
        <v>20</v>
      </c>
      <c r="F808" s="2">
        <v>30</v>
      </c>
      <c r="G808" s="2" t="s">
        <v>18</v>
      </c>
      <c r="H808" s="2">
        <v>3</v>
      </c>
      <c r="I808" s="2">
        <v>500</v>
      </c>
      <c r="J808" s="2">
        <v>1500</v>
      </c>
    </row>
    <row r="809" spans="2:10" x14ac:dyDescent="0.25">
      <c r="B809" s="2">
        <v>806</v>
      </c>
      <c r="C809" s="6">
        <v>45005</v>
      </c>
      <c r="D809" s="2" t="s">
        <v>826</v>
      </c>
      <c r="E809" s="2" t="s">
        <v>20</v>
      </c>
      <c r="F809" s="2">
        <v>35</v>
      </c>
      <c r="G809" s="2" t="s">
        <v>18</v>
      </c>
      <c r="H809" s="2">
        <v>3</v>
      </c>
      <c r="I809" s="2">
        <v>300</v>
      </c>
      <c r="J809" s="2">
        <v>900</v>
      </c>
    </row>
    <row r="810" spans="2:10" x14ac:dyDescent="0.25">
      <c r="B810" s="2">
        <v>807</v>
      </c>
      <c r="C810" s="6">
        <v>45149</v>
      </c>
      <c r="D810" s="2" t="s">
        <v>827</v>
      </c>
      <c r="E810" s="2" t="s">
        <v>20</v>
      </c>
      <c r="F810" s="2">
        <v>50</v>
      </c>
      <c r="G810" s="2" t="s">
        <v>23</v>
      </c>
      <c r="H810" s="2">
        <v>4</v>
      </c>
      <c r="I810" s="2">
        <v>50</v>
      </c>
      <c r="J810" s="2">
        <v>200</v>
      </c>
    </row>
    <row r="811" spans="2:10" x14ac:dyDescent="0.25">
      <c r="B811" s="2">
        <v>808</v>
      </c>
      <c r="C811" s="6">
        <v>45017</v>
      </c>
      <c r="D811" s="2" t="s">
        <v>828</v>
      </c>
      <c r="E811" s="2" t="s">
        <v>17</v>
      </c>
      <c r="F811" s="2">
        <v>33</v>
      </c>
      <c r="G811" s="2" t="s">
        <v>18</v>
      </c>
      <c r="H811" s="2">
        <v>4</v>
      </c>
      <c r="I811" s="2">
        <v>500</v>
      </c>
      <c r="J811" s="2">
        <v>2000</v>
      </c>
    </row>
    <row r="812" spans="2:10" x14ac:dyDescent="0.25">
      <c r="B812" s="2">
        <v>809</v>
      </c>
      <c r="C812" s="6">
        <v>45194</v>
      </c>
      <c r="D812" s="2" t="s">
        <v>829</v>
      </c>
      <c r="E812" s="2" t="s">
        <v>20</v>
      </c>
      <c r="F812" s="2">
        <v>62</v>
      </c>
      <c r="G812" s="2" t="s">
        <v>18</v>
      </c>
      <c r="H812" s="2">
        <v>2</v>
      </c>
      <c r="I812" s="2">
        <v>50</v>
      </c>
      <c r="J812" s="2">
        <v>100</v>
      </c>
    </row>
    <row r="813" spans="2:10" x14ac:dyDescent="0.25">
      <c r="B813" s="2">
        <v>810</v>
      </c>
      <c r="C813" s="6">
        <v>45260</v>
      </c>
      <c r="D813" s="2" t="s">
        <v>830</v>
      </c>
      <c r="E813" s="2" t="s">
        <v>17</v>
      </c>
      <c r="F813" s="2">
        <v>59</v>
      </c>
      <c r="G813" s="2" t="s">
        <v>23</v>
      </c>
      <c r="H813" s="2">
        <v>4</v>
      </c>
      <c r="I813" s="2">
        <v>25</v>
      </c>
      <c r="J813" s="2">
        <v>100</v>
      </c>
    </row>
    <row r="814" spans="2:10" x14ac:dyDescent="0.25">
      <c r="B814" s="2">
        <v>811</v>
      </c>
      <c r="C814" s="6">
        <v>45065</v>
      </c>
      <c r="D814" s="2" t="s">
        <v>831</v>
      </c>
      <c r="E814" s="2" t="s">
        <v>17</v>
      </c>
      <c r="F814" s="2">
        <v>61</v>
      </c>
      <c r="G814" s="2" t="s">
        <v>18</v>
      </c>
      <c r="H814" s="2">
        <v>2</v>
      </c>
      <c r="I814" s="2">
        <v>25</v>
      </c>
      <c r="J814" s="2">
        <v>50</v>
      </c>
    </row>
    <row r="815" spans="2:10" x14ac:dyDescent="0.25">
      <c r="B815" s="2">
        <v>812</v>
      </c>
      <c r="C815" s="6">
        <v>45242</v>
      </c>
      <c r="D815" s="2" t="s">
        <v>832</v>
      </c>
      <c r="E815" s="2" t="s">
        <v>17</v>
      </c>
      <c r="F815" s="2">
        <v>19</v>
      </c>
      <c r="G815" s="2" t="s">
        <v>23</v>
      </c>
      <c r="H815" s="2">
        <v>3</v>
      </c>
      <c r="I815" s="2">
        <v>25</v>
      </c>
      <c r="J815" s="2">
        <v>75</v>
      </c>
    </row>
    <row r="816" spans="2:10" x14ac:dyDescent="0.25">
      <c r="B816" s="2">
        <v>813</v>
      </c>
      <c r="C816" s="6">
        <v>45202</v>
      </c>
      <c r="D816" s="2" t="s">
        <v>833</v>
      </c>
      <c r="E816" s="2" t="s">
        <v>17</v>
      </c>
      <c r="F816" s="2">
        <v>52</v>
      </c>
      <c r="G816" s="2" t="s">
        <v>23</v>
      </c>
      <c r="H816" s="2">
        <v>3</v>
      </c>
      <c r="I816" s="2">
        <v>50</v>
      </c>
      <c r="J816" s="2">
        <v>150</v>
      </c>
    </row>
    <row r="817" spans="2:10" x14ac:dyDescent="0.25">
      <c r="B817" s="2">
        <v>814</v>
      </c>
      <c r="C817" s="6">
        <v>45174</v>
      </c>
      <c r="D817" s="2" t="s">
        <v>834</v>
      </c>
      <c r="E817" s="2" t="s">
        <v>20</v>
      </c>
      <c r="F817" s="2">
        <v>59</v>
      </c>
      <c r="G817" s="2" t="s">
        <v>21</v>
      </c>
      <c r="H817" s="2">
        <v>1</v>
      </c>
      <c r="I817" s="2">
        <v>500</v>
      </c>
      <c r="J817" s="2">
        <v>500</v>
      </c>
    </row>
    <row r="818" spans="2:10" x14ac:dyDescent="0.25">
      <c r="B818" s="2">
        <v>815</v>
      </c>
      <c r="C818" s="6">
        <v>45165</v>
      </c>
      <c r="D818" s="2" t="s">
        <v>835</v>
      </c>
      <c r="E818" s="2" t="s">
        <v>20</v>
      </c>
      <c r="F818" s="2">
        <v>51</v>
      </c>
      <c r="G818" s="2" t="s">
        <v>21</v>
      </c>
      <c r="H818" s="2">
        <v>3</v>
      </c>
      <c r="I818" s="2">
        <v>25</v>
      </c>
      <c r="J818" s="2">
        <v>75</v>
      </c>
    </row>
    <row r="819" spans="2:10" x14ac:dyDescent="0.25">
      <c r="B819" s="2">
        <v>816</v>
      </c>
      <c r="C819" s="6">
        <v>45150</v>
      </c>
      <c r="D819" s="2" t="s">
        <v>836</v>
      </c>
      <c r="E819" s="2" t="s">
        <v>17</v>
      </c>
      <c r="F819" s="2">
        <v>47</v>
      </c>
      <c r="G819" s="2" t="s">
        <v>18</v>
      </c>
      <c r="H819" s="2">
        <v>2</v>
      </c>
      <c r="I819" s="2">
        <v>500</v>
      </c>
      <c r="J819" s="2">
        <v>1000</v>
      </c>
    </row>
    <row r="820" spans="2:10" x14ac:dyDescent="0.25">
      <c r="B820" s="2">
        <v>817</v>
      </c>
      <c r="C820" s="6">
        <v>45230</v>
      </c>
      <c r="D820" s="2" t="s">
        <v>837</v>
      </c>
      <c r="E820" s="2" t="s">
        <v>17</v>
      </c>
      <c r="F820" s="2">
        <v>30</v>
      </c>
      <c r="G820" s="2" t="s">
        <v>18</v>
      </c>
      <c r="H820" s="2">
        <v>4</v>
      </c>
      <c r="I820" s="2">
        <v>50</v>
      </c>
      <c r="J820" s="2">
        <v>200</v>
      </c>
    </row>
    <row r="821" spans="2:10" x14ac:dyDescent="0.25">
      <c r="B821" s="2">
        <v>818</v>
      </c>
      <c r="C821" s="6">
        <v>45064</v>
      </c>
      <c r="D821" s="2" t="s">
        <v>838</v>
      </c>
      <c r="E821" s="2" t="s">
        <v>17</v>
      </c>
      <c r="F821" s="2">
        <v>30</v>
      </c>
      <c r="G821" s="2" t="s">
        <v>23</v>
      </c>
      <c r="H821" s="2">
        <v>1</v>
      </c>
      <c r="I821" s="2">
        <v>500</v>
      </c>
      <c r="J821" s="2">
        <v>500</v>
      </c>
    </row>
    <row r="822" spans="2:10" x14ac:dyDescent="0.25">
      <c r="B822" s="2">
        <v>819</v>
      </c>
      <c r="C822" s="6">
        <v>45092</v>
      </c>
      <c r="D822" s="2" t="s">
        <v>839</v>
      </c>
      <c r="E822" s="2" t="s">
        <v>20</v>
      </c>
      <c r="F822" s="2">
        <v>35</v>
      </c>
      <c r="G822" s="2" t="s">
        <v>18</v>
      </c>
      <c r="H822" s="2">
        <v>2</v>
      </c>
      <c r="I822" s="2">
        <v>50</v>
      </c>
      <c r="J822" s="2">
        <v>100</v>
      </c>
    </row>
    <row r="823" spans="2:10" x14ac:dyDescent="0.25">
      <c r="B823" s="2">
        <v>820</v>
      </c>
      <c r="C823" s="6">
        <v>45052</v>
      </c>
      <c r="D823" s="2" t="s">
        <v>840</v>
      </c>
      <c r="E823" s="2" t="s">
        <v>17</v>
      </c>
      <c r="F823" s="2">
        <v>49</v>
      </c>
      <c r="G823" s="2" t="s">
        <v>23</v>
      </c>
      <c r="H823" s="2">
        <v>4</v>
      </c>
      <c r="I823" s="2">
        <v>50</v>
      </c>
      <c r="J823" s="2">
        <v>200</v>
      </c>
    </row>
    <row r="824" spans="2:10" x14ac:dyDescent="0.25">
      <c r="B824" s="2">
        <v>821</v>
      </c>
      <c r="C824" s="6">
        <v>44971</v>
      </c>
      <c r="D824" s="2" t="s">
        <v>841</v>
      </c>
      <c r="E824" s="2" t="s">
        <v>17</v>
      </c>
      <c r="F824" s="2">
        <v>49</v>
      </c>
      <c r="G824" s="2" t="s">
        <v>23</v>
      </c>
      <c r="H824" s="2">
        <v>1</v>
      </c>
      <c r="I824" s="2">
        <v>300</v>
      </c>
      <c r="J824" s="2">
        <v>300</v>
      </c>
    </row>
    <row r="825" spans="2:10" x14ac:dyDescent="0.25">
      <c r="B825" s="2">
        <v>822</v>
      </c>
      <c r="C825" s="6">
        <v>45069</v>
      </c>
      <c r="D825" s="2" t="s">
        <v>842</v>
      </c>
      <c r="E825" s="2" t="s">
        <v>20</v>
      </c>
      <c r="F825" s="2">
        <v>52</v>
      </c>
      <c r="G825" s="2" t="s">
        <v>18</v>
      </c>
      <c r="H825" s="2">
        <v>3</v>
      </c>
      <c r="I825" s="2">
        <v>50</v>
      </c>
      <c r="J825" s="2">
        <v>150</v>
      </c>
    </row>
    <row r="826" spans="2:10" x14ac:dyDescent="0.25">
      <c r="B826" s="2">
        <v>823</v>
      </c>
      <c r="C826" s="6">
        <v>45157</v>
      </c>
      <c r="D826" s="2" t="s">
        <v>843</v>
      </c>
      <c r="E826" s="2" t="s">
        <v>20</v>
      </c>
      <c r="F826" s="2">
        <v>56</v>
      </c>
      <c r="G826" s="2" t="s">
        <v>23</v>
      </c>
      <c r="H826" s="2">
        <v>2</v>
      </c>
      <c r="I826" s="2">
        <v>50</v>
      </c>
      <c r="J826" s="2">
        <v>100</v>
      </c>
    </row>
    <row r="827" spans="2:10" x14ac:dyDescent="0.25">
      <c r="B827" s="2">
        <v>824</v>
      </c>
      <c r="C827" s="6">
        <v>45051</v>
      </c>
      <c r="D827" s="2" t="s">
        <v>844</v>
      </c>
      <c r="E827" s="2" t="s">
        <v>17</v>
      </c>
      <c r="F827" s="2">
        <v>63</v>
      </c>
      <c r="G827" s="2" t="s">
        <v>21</v>
      </c>
      <c r="H827" s="2">
        <v>4</v>
      </c>
      <c r="I827" s="2">
        <v>30</v>
      </c>
      <c r="J827" s="2">
        <v>120</v>
      </c>
    </row>
    <row r="828" spans="2:10" x14ac:dyDescent="0.25">
      <c r="B828" s="2">
        <v>825</v>
      </c>
      <c r="C828" s="6">
        <v>45164</v>
      </c>
      <c r="D828" s="2" t="s">
        <v>845</v>
      </c>
      <c r="E828" s="2" t="s">
        <v>20</v>
      </c>
      <c r="F828" s="2">
        <v>46</v>
      </c>
      <c r="G828" s="2" t="s">
        <v>18</v>
      </c>
      <c r="H828" s="2">
        <v>1</v>
      </c>
      <c r="I828" s="2">
        <v>25</v>
      </c>
      <c r="J828" s="2">
        <v>25</v>
      </c>
    </row>
    <row r="829" spans="2:10" x14ac:dyDescent="0.25">
      <c r="B829" s="2">
        <v>826</v>
      </c>
      <c r="C829" s="6">
        <v>45218</v>
      </c>
      <c r="D829" s="2" t="s">
        <v>846</v>
      </c>
      <c r="E829" s="2" t="s">
        <v>20</v>
      </c>
      <c r="F829" s="2">
        <v>46</v>
      </c>
      <c r="G829" s="2" t="s">
        <v>21</v>
      </c>
      <c r="H829" s="2">
        <v>1</v>
      </c>
      <c r="I829" s="2">
        <v>300</v>
      </c>
      <c r="J829" s="2">
        <v>300</v>
      </c>
    </row>
    <row r="830" spans="2:10" x14ac:dyDescent="0.25">
      <c r="B830" s="2">
        <v>827</v>
      </c>
      <c r="C830" s="6">
        <v>45239</v>
      </c>
      <c r="D830" s="2" t="s">
        <v>847</v>
      </c>
      <c r="E830" s="2" t="s">
        <v>17</v>
      </c>
      <c r="F830" s="2">
        <v>61</v>
      </c>
      <c r="G830" s="2" t="s">
        <v>18</v>
      </c>
      <c r="H830" s="2">
        <v>3</v>
      </c>
      <c r="I830" s="2">
        <v>300</v>
      </c>
      <c r="J830" s="2">
        <v>900</v>
      </c>
    </row>
    <row r="831" spans="2:10" x14ac:dyDescent="0.25">
      <c r="B831" s="2">
        <v>828</v>
      </c>
      <c r="C831" s="6">
        <v>45269</v>
      </c>
      <c r="D831" s="2" t="s">
        <v>848</v>
      </c>
      <c r="E831" s="2" t="s">
        <v>20</v>
      </c>
      <c r="F831" s="2">
        <v>33</v>
      </c>
      <c r="G831" s="2" t="s">
        <v>23</v>
      </c>
      <c r="H831" s="2">
        <v>4</v>
      </c>
      <c r="I831" s="2">
        <v>300</v>
      </c>
      <c r="J831" s="2">
        <v>1200</v>
      </c>
    </row>
    <row r="832" spans="2:10" x14ac:dyDescent="0.25">
      <c r="B832" s="2">
        <v>829</v>
      </c>
      <c r="C832" s="6">
        <v>45121</v>
      </c>
      <c r="D832" s="2" t="s">
        <v>849</v>
      </c>
      <c r="E832" s="2" t="s">
        <v>17</v>
      </c>
      <c r="F832" s="2">
        <v>61</v>
      </c>
      <c r="G832" s="2" t="s">
        <v>18</v>
      </c>
      <c r="H832" s="2">
        <v>3</v>
      </c>
      <c r="I832" s="2">
        <v>30</v>
      </c>
      <c r="J832" s="2">
        <v>90</v>
      </c>
    </row>
    <row r="833" spans="2:10" x14ac:dyDescent="0.25">
      <c r="B833" s="2">
        <v>830</v>
      </c>
      <c r="C833" s="6">
        <v>45099</v>
      </c>
      <c r="D833" s="2" t="s">
        <v>850</v>
      </c>
      <c r="E833" s="2" t="s">
        <v>20</v>
      </c>
      <c r="F833" s="2">
        <v>64</v>
      </c>
      <c r="G833" s="2" t="s">
        <v>21</v>
      </c>
      <c r="H833" s="2">
        <v>3</v>
      </c>
      <c r="I833" s="2">
        <v>50</v>
      </c>
      <c r="J833" s="2">
        <v>150</v>
      </c>
    </row>
    <row r="834" spans="2:10" x14ac:dyDescent="0.25">
      <c r="B834" s="2">
        <v>831</v>
      </c>
      <c r="C834" s="6">
        <v>44941</v>
      </c>
      <c r="D834" s="2" t="s">
        <v>851</v>
      </c>
      <c r="E834" s="2" t="s">
        <v>17</v>
      </c>
      <c r="F834" s="2">
        <v>27</v>
      </c>
      <c r="G834" s="2" t="s">
        <v>23</v>
      </c>
      <c r="H834" s="2">
        <v>4</v>
      </c>
      <c r="I834" s="2">
        <v>25</v>
      </c>
      <c r="J834" s="2">
        <v>100</v>
      </c>
    </row>
    <row r="835" spans="2:10" x14ac:dyDescent="0.25">
      <c r="B835" s="2">
        <v>832</v>
      </c>
      <c r="C835" s="6">
        <v>45180</v>
      </c>
      <c r="D835" s="2" t="s">
        <v>852</v>
      </c>
      <c r="E835" s="2" t="s">
        <v>17</v>
      </c>
      <c r="F835" s="2">
        <v>47</v>
      </c>
      <c r="G835" s="2" t="s">
        <v>18</v>
      </c>
      <c r="H835" s="2">
        <v>4</v>
      </c>
      <c r="I835" s="2">
        <v>500</v>
      </c>
      <c r="J835" s="2">
        <v>2000</v>
      </c>
    </row>
    <row r="836" spans="2:10" x14ac:dyDescent="0.25">
      <c r="B836" s="2">
        <v>833</v>
      </c>
      <c r="C836" s="6">
        <v>45093</v>
      </c>
      <c r="D836" s="2" t="s">
        <v>853</v>
      </c>
      <c r="E836" s="2" t="s">
        <v>17</v>
      </c>
      <c r="F836" s="2">
        <v>42</v>
      </c>
      <c r="G836" s="2" t="s">
        <v>18</v>
      </c>
      <c r="H836" s="2">
        <v>4</v>
      </c>
      <c r="I836" s="2">
        <v>50</v>
      </c>
      <c r="J836" s="2">
        <v>200</v>
      </c>
    </row>
    <row r="837" spans="2:10" x14ac:dyDescent="0.25">
      <c r="B837" s="2">
        <v>834</v>
      </c>
      <c r="C837" s="6">
        <v>45020</v>
      </c>
      <c r="D837" s="2" t="s">
        <v>854</v>
      </c>
      <c r="E837" s="2" t="s">
        <v>20</v>
      </c>
      <c r="F837" s="2">
        <v>56</v>
      </c>
      <c r="G837" s="2" t="s">
        <v>18</v>
      </c>
      <c r="H837" s="2">
        <v>2</v>
      </c>
      <c r="I837" s="2">
        <v>30</v>
      </c>
      <c r="J837" s="2">
        <v>60</v>
      </c>
    </row>
    <row r="838" spans="2:10" x14ac:dyDescent="0.25">
      <c r="B838" s="2">
        <v>835</v>
      </c>
      <c r="C838" s="6">
        <v>45176</v>
      </c>
      <c r="D838" s="2" t="s">
        <v>855</v>
      </c>
      <c r="E838" s="2" t="s">
        <v>17</v>
      </c>
      <c r="F838" s="2">
        <v>37</v>
      </c>
      <c r="G838" s="2" t="s">
        <v>21</v>
      </c>
      <c r="H838" s="2">
        <v>4</v>
      </c>
      <c r="I838" s="2">
        <v>50</v>
      </c>
      <c r="J838" s="2">
        <v>200</v>
      </c>
    </row>
    <row r="839" spans="2:10" x14ac:dyDescent="0.25">
      <c r="B839" s="2">
        <v>836</v>
      </c>
      <c r="C839" s="6">
        <v>45035</v>
      </c>
      <c r="D839" s="2" t="s">
        <v>856</v>
      </c>
      <c r="E839" s="2" t="s">
        <v>20</v>
      </c>
      <c r="F839" s="2">
        <v>22</v>
      </c>
      <c r="G839" s="2" t="s">
        <v>21</v>
      </c>
      <c r="H839" s="2">
        <v>1</v>
      </c>
      <c r="I839" s="2">
        <v>50</v>
      </c>
      <c r="J839" s="2">
        <v>50</v>
      </c>
    </row>
    <row r="840" spans="2:10" x14ac:dyDescent="0.25">
      <c r="B840" s="2">
        <v>837</v>
      </c>
      <c r="C840" s="6">
        <v>45108</v>
      </c>
      <c r="D840" s="2" t="s">
        <v>857</v>
      </c>
      <c r="E840" s="2" t="s">
        <v>17</v>
      </c>
      <c r="F840" s="2">
        <v>18</v>
      </c>
      <c r="G840" s="2" t="s">
        <v>18</v>
      </c>
      <c r="H840" s="2">
        <v>3</v>
      </c>
      <c r="I840" s="2">
        <v>30</v>
      </c>
      <c r="J840" s="2">
        <v>90</v>
      </c>
    </row>
    <row r="841" spans="2:10" x14ac:dyDescent="0.25">
      <c r="B841" s="2">
        <v>838</v>
      </c>
      <c r="C841" s="6">
        <v>45059</v>
      </c>
      <c r="D841" s="2" t="s">
        <v>858</v>
      </c>
      <c r="E841" s="2" t="s">
        <v>17</v>
      </c>
      <c r="F841" s="2">
        <v>47</v>
      </c>
      <c r="G841" s="2" t="s">
        <v>23</v>
      </c>
      <c r="H841" s="2">
        <v>2</v>
      </c>
      <c r="I841" s="2">
        <v>300</v>
      </c>
      <c r="J841" s="2">
        <v>600</v>
      </c>
    </row>
    <row r="842" spans="2:10" x14ac:dyDescent="0.25">
      <c r="B842" s="2">
        <v>839</v>
      </c>
      <c r="C842" s="6">
        <v>45101</v>
      </c>
      <c r="D842" s="2" t="s">
        <v>859</v>
      </c>
      <c r="E842" s="2" t="s">
        <v>20</v>
      </c>
      <c r="F842" s="2">
        <v>20</v>
      </c>
      <c r="G842" s="2" t="s">
        <v>23</v>
      </c>
      <c r="H842" s="2">
        <v>4</v>
      </c>
      <c r="I842" s="2">
        <v>300</v>
      </c>
      <c r="J842" s="2">
        <v>1200</v>
      </c>
    </row>
    <row r="843" spans="2:10" x14ac:dyDescent="0.25">
      <c r="B843" s="2">
        <v>840</v>
      </c>
      <c r="C843" s="6">
        <v>45070</v>
      </c>
      <c r="D843" s="2" t="s">
        <v>860</v>
      </c>
      <c r="E843" s="2" t="s">
        <v>17</v>
      </c>
      <c r="F843" s="2">
        <v>62</v>
      </c>
      <c r="G843" s="2" t="s">
        <v>21</v>
      </c>
      <c r="H843" s="2">
        <v>2</v>
      </c>
      <c r="I843" s="2">
        <v>25</v>
      </c>
      <c r="J843" s="2">
        <v>50</v>
      </c>
    </row>
    <row r="844" spans="2:10" x14ac:dyDescent="0.25">
      <c r="B844" s="2">
        <v>841</v>
      </c>
      <c r="C844" s="6">
        <v>45232</v>
      </c>
      <c r="D844" s="2" t="s">
        <v>861</v>
      </c>
      <c r="E844" s="2" t="s">
        <v>17</v>
      </c>
      <c r="F844" s="2">
        <v>31</v>
      </c>
      <c r="G844" s="2" t="s">
        <v>23</v>
      </c>
      <c r="H844" s="2">
        <v>4</v>
      </c>
      <c r="I844" s="2">
        <v>25</v>
      </c>
      <c r="J844" s="2">
        <v>100</v>
      </c>
    </row>
    <row r="845" spans="2:10" x14ac:dyDescent="0.25">
      <c r="B845" s="2">
        <v>842</v>
      </c>
      <c r="C845" s="6">
        <v>45286</v>
      </c>
      <c r="D845" s="2" t="s">
        <v>862</v>
      </c>
      <c r="E845" s="2" t="s">
        <v>20</v>
      </c>
      <c r="F845" s="2">
        <v>47</v>
      </c>
      <c r="G845" s="2" t="s">
        <v>21</v>
      </c>
      <c r="H845" s="2">
        <v>2</v>
      </c>
      <c r="I845" s="2">
        <v>300</v>
      </c>
      <c r="J845" s="2">
        <v>600</v>
      </c>
    </row>
    <row r="846" spans="2:10" x14ac:dyDescent="0.25">
      <c r="B846" s="2">
        <v>843</v>
      </c>
      <c r="C846" s="6">
        <v>45068</v>
      </c>
      <c r="D846" s="2" t="s">
        <v>863</v>
      </c>
      <c r="E846" s="2" t="s">
        <v>17</v>
      </c>
      <c r="F846" s="2">
        <v>21</v>
      </c>
      <c r="G846" s="2" t="s">
        <v>18</v>
      </c>
      <c r="H846" s="2">
        <v>3</v>
      </c>
      <c r="I846" s="2">
        <v>500</v>
      </c>
      <c r="J846" s="2">
        <v>1500</v>
      </c>
    </row>
    <row r="847" spans="2:10" x14ac:dyDescent="0.25">
      <c r="B847" s="2">
        <v>844</v>
      </c>
      <c r="C847" s="6">
        <v>45211</v>
      </c>
      <c r="D847" s="2" t="s">
        <v>864</v>
      </c>
      <c r="E847" s="2" t="s">
        <v>17</v>
      </c>
      <c r="F847" s="2">
        <v>35</v>
      </c>
      <c r="G847" s="2" t="s">
        <v>21</v>
      </c>
      <c r="H847" s="2">
        <v>3</v>
      </c>
      <c r="I847" s="2">
        <v>50</v>
      </c>
      <c r="J847" s="2">
        <v>150</v>
      </c>
    </row>
    <row r="848" spans="2:10" x14ac:dyDescent="0.25">
      <c r="B848" s="2">
        <v>845</v>
      </c>
      <c r="C848" s="6">
        <v>44932</v>
      </c>
      <c r="D848" s="2" t="s">
        <v>865</v>
      </c>
      <c r="E848" s="2" t="s">
        <v>17</v>
      </c>
      <c r="F848" s="2">
        <v>54</v>
      </c>
      <c r="G848" s="2" t="s">
        <v>21</v>
      </c>
      <c r="H848" s="2">
        <v>1</v>
      </c>
      <c r="I848" s="2">
        <v>500</v>
      </c>
      <c r="J848" s="2">
        <v>500</v>
      </c>
    </row>
    <row r="849" spans="2:10" x14ac:dyDescent="0.25">
      <c r="B849" s="2">
        <v>846</v>
      </c>
      <c r="C849" s="6">
        <v>45191</v>
      </c>
      <c r="D849" s="2" t="s">
        <v>866</v>
      </c>
      <c r="E849" s="2" t="s">
        <v>17</v>
      </c>
      <c r="F849" s="2">
        <v>42</v>
      </c>
      <c r="G849" s="2" t="s">
        <v>18</v>
      </c>
      <c r="H849" s="2">
        <v>1</v>
      </c>
      <c r="I849" s="2">
        <v>50</v>
      </c>
      <c r="J849" s="2">
        <v>50</v>
      </c>
    </row>
    <row r="850" spans="2:10" x14ac:dyDescent="0.25">
      <c r="B850" s="2">
        <v>847</v>
      </c>
      <c r="C850" s="6">
        <v>45024</v>
      </c>
      <c r="D850" s="2" t="s">
        <v>867</v>
      </c>
      <c r="E850" s="2" t="s">
        <v>20</v>
      </c>
      <c r="F850" s="2">
        <v>18</v>
      </c>
      <c r="G850" s="2" t="s">
        <v>23</v>
      </c>
      <c r="H850" s="2">
        <v>4</v>
      </c>
      <c r="I850" s="2">
        <v>300</v>
      </c>
      <c r="J850" s="2">
        <v>1200</v>
      </c>
    </row>
    <row r="851" spans="2:10" x14ac:dyDescent="0.25">
      <c r="B851" s="2">
        <v>848</v>
      </c>
      <c r="C851" s="6">
        <v>44970</v>
      </c>
      <c r="D851" s="2" t="s">
        <v>868</v>
      </c>
      <c r="E851" s="2" t="s">
        <v>20</v>
      </c>
      <c r="F851" s="2">
        <v>63</v>
      </c>
      <c r="G851" s="2" t="s">
        <v>21</v>
      </c>
      <c r="H851" s="2">
        <v>3</v>
      </c>
      <c r="I851" s="2">
        <v>25</v>
      </c>
      <c r="J851" s="2">
        <v>75</v>
      </c>
    </row>
    <row r="852" spans="2:10" x14ac:dyDescent="0.25">
      <c r="B852" s="2">
        <v>849</v>
      </c>
      <c r="C852" s="6">
        <v>45050</v>
      </c>
      <c r="D852" s="2" t="s">
        <v>869</v>
      </c>
      <c r="E852" s="2" t="s">
        <v>17</v>
      </c>
      <c r="F852" s="2">
        <v>32</v>
      </c>
      <c r="G852" s="2" t="s">
        <v>21</v>
      </c>
      <c r="H852" s="2">
        <v>2</v>
      </c>
      <c r="I852" s="2">
        <v>25</v>
      </c>
      <c r="J852" s="2">
        <v>50</v>
      </c>
    </row>
    <row r="853" spans="2:10" x14ac:dyDescent="0.25">
      <c r="B853" s="2">
        <v>850</v>
      </c>
      <c r="C853" s="6">
        <v>45135</v>
      </c>
      <c r="D853" s="2" t="s">
        <v>870</v>
      </c>
      <c r="E853" s="2" t="s">
        <v>20</v>
      </c>
      <c r="F853" s="2">
        <v>26</v>
      </c>
      <c r="G853" s="2" t="s">
        <v>18</v>
      </c>
      <c r="H853" s="2">
        <v>2</v>
      </c>
      <c r="I853" s="2">
        <v>500</v>
      </c>
      <c r="J853" s="2">
        <v>1000</v>
      </c>
    </row>
    <row r="854" spans="2:10" x14ac:dyDescent="0.25">
      <c r="B854" s="2">
        <v>851</v>
      </c>
      <c r="C854" s="6">
        <v>45177</v>
      </c>
      <c r="D854" s="2" t="s">
        <v>871</v>
      </c>
      <c r="E854" s="2" t="s">
        <v>17</v>
      </c>
      <c r="F854" s="2">
        <v>32</v>
      </c>
      <c r="G854" s="2" t="s">
        <v>23</v>
      </c>
      <c r="H854" s="2">
        <v>2</v>
      </c>
      <c r="I854" s="2">
        <v>25</v>
      </c>
      <c r="J854" s="2">
        <v>50</v>
      </c>
    </row>
    <row r="855" spans="2:10" x14ac:dyDescent="0.25">
      <c r="B855" s="2">
        <v>852</v>
      </c>
      <c r="C855" s="6">
        <v>45211</v>
      </c>
      <c r="D855" s="2" t="s">
        <v>872</v>
      </c>
      <c r="E855" s="2" t="s">
        <v>20</v>
      </c>
      <c r="F855" s="2">
        <v>41</v>
      </c>
      <c r="G855" s="2" t="s">
        <v>21</v>
      </c>
      <c r="H855" s="2">
        <v>1</v>
      </c>
      <c r="I855" s="2">
        <v>300</v>
      </c>
      <c r="J855" s="2">
        <v>300</v>
      </c>
    </row>
    <row r="856" spans="2:10" x14ac:dyDescent="0.25">
      <c r="B856" s="2">
        <v>853</v>
      </c>
      <c r="C856" s="6">
        <v>45050</v>
      </c>
      <c r="D856" s="2" t="s">
        <v>873</v>
      </c>
      <c r="E856" s="2" t="s">
        <v>17</v>
      </c>
      <c r="F856" s="2">
        <v>21</v>
      </c>
      <c r="G856" s="2" t="s">
        <v>18</v>
      </c>
      <c r="H856" s="2">
        <v>2</v>
      </c>
      <c r="I856" s="2">
        <v>500</v>
      </c>
      <c r="J856" s="2">
        <v>1000</v>
      </c>
    </row>
    <row r="857" spans="2:10" x14ac:dyDescent="0.25">
      <c r="B857" s="2">
        <v>854</v>
      </c>
      <c r="C857" s="6">
        <v>45280</v>
      </c>
      <c r="D857" s="2" t="s">
        <v>874</v>
      </c>
      <c r="E857" s="2" t="s">
        <v>17</v>
      </c>
      <c r="F857" s="2">
        <v>29</v>
      </c>
      <c r="G857" s="2" t="s">
        <v>21</v>
      </c>
      <c r="H857" s="2">
        <v>1</v>
      </c>
      <c r="I857" s="2">
        <v>50</v>
      </c>
      <c r="J857" s="2">
        <v>50</v>
      </c>
    </row>
    <row r="858" spans="2:10" x14ac:dyDescent="0.25">
      <c r="B858" s="2">
        <v>855</v>
      </c>
      <c r="C858" s="6">
        <v>45170</v>
      </c>
      <c r="D858" s="2" t="s">
        <v>875</v>
      </c>
      <c r="E858" s="2" t="s">
        <v>17</v>
      </c>
      <c r="F858" s="2">
        <v>54</v>
      </c>
      <c r="G858" s="2" t="s">
        <v>18</v>
      </c>
      <c r="H858" s="2">
        <v>1</v>
      </c>
      <c r="I858" s="2">
        <v>25</v>
      </c>
      <c r="J858" s="2">
        <v>25</v>
      </c>
    </row>
    <row r="859" spans="2:10" x14ac:dyDescent="0.25">
      <c r="B859" s="2">
        <v>856</v>
      </c>
      <c r="C859" s="6">
        <v>45257</v>
      </c>
      <c r="D859" s="2" t="s">
        <v>876</v>
      </c>
      <c r="E859" s="2" t="s">
        <v>17</v>
      </c>
      <c r="F859" s="2">
        <v>54</v>
      </c>
      <c r="G859" s="2" t="s">
        <v>23</v>
      </c>
      <c r="H859" s="2">
        <v>4</v>
      </c>
      <c r="I859" s="2">
        <v>30</v>
      </c>
      <c r="J859" s="2">
        <v>120</v>
      </c>
    </row>
    <row r="860" spans="2:10" x14ac:dyDescent="0.25">
      <c r="B860" s="2">
        <v>857</v>
      </c>
      <c r="C860" s="6">
        <v>45291</v>
      </c>
      <c r="D860" s="2" t="s">
        <v>877</v>
      </c>
      <c r="E860" s="2" t="s">
        <v>17</v>
      </c>
      <c r="F860" s="2">
        <v>60</v>
      </c>
      <c r="G860" s="2" t="s">
        <v>23</v>
      </c>
      <c r="H860" s="2">
        <v>2</v>
      </c>
      <c r="I860" s="2">
        <v>25</v>
      </c>
      <c r="J860" s="2">
        <v>50</v>
      </c>
    </row>
    <row r="861" spans="2:10" x14ac:dyDescent="0.25">
      <c r="B861" s="2">
        <v>858</v>
      </c>
      <c r="C861" s="6">
        <v>45178</v>
      </c>
      <c r="D861" s="2" t="s">
        <v>878</v>
      </c>
      <c r="E861" s="2" t="s">
        <v>17</v>
      </c>
      <c r="F861" s="2">
        <v>23</v>
      </c>
      <c r="G861" s="2" t="s">
        <v>23</v>
      </c>
      <c r="H861" s="2">
        <v>2</v>
      </c>
      <c r="I861" s="2">
        <v>50</v>
      </c>
      <c r="J861" s="2">
        <v>100</v>
      </c>
    </row>
    <row r="862" spans="2:10" x14ac:dyDescent="0.25">
      <c r="B862" s="2">
        <v>859</v>
      </c>
      <c r="C862" s="6">
        <v>45156</v>
      </c>
      <c r="D862" s="2" t="s">
        <v>879</v>
      </c>
      <c r="E862" s="2" t="s">
        <v>20</v>
      </c>
      <c r="F862" s="2">
        <v>56</v>
      </c>
      <c r="G862" s="2" t="s">
        <v>23</v>
      </c>
      <c r="H862" s="2">
        <v>3</v>
      </c>
      <c r="I862" s="2">
        <v>500</v>
      </c>
      <c r="J862" s="2">
        <v>1500</v>
      </c>
    </row>
    <row r="863" spans="2:10" x14ac:dyDescent="0.25">
      <c r="B863" s="2">
        <v>860</v>
      </c>
      <c r="C863" s="6">
        <v>44935</v>
      </c>
      <c r="D863" s="2" t="s">
        <v>880</v>
      </c>
      <c r="E863" s="2" t="s">
        <v>17</v>
      </c>
      <c r="F863" s="2">
        <v>63</v>
      </c>
      <c r="G863" s="2" t="s">
        <v>21</v>
      </c>
      <c r="H863" s="2">
        <v>4</v>
      </c>
      <c r="I863" s="2">
        <v>50</v>
      </c>
      <c r="J863" s="2">
        <v>200</v>
      </c>
    </row>
    <row r="864" spans="2:10" x14ac:dyDescent="0.25">
      <c r="B864" s="2">
        <v>861</v>
      </c>
      <c r="C864" s="6">
        <v>44974</v>
      </c>
      <c r="D864" s="2" t="s">
        <v>881</v>
      </c>
      <c r="E864" s="2" t="s">
        <v>20</v>
      </c>
      <c r="F864" s="2">
        <v>41</v>
      </c>
      <c r="G864" s="2" t="s">
        <v>21</v>
      </c>
      <c r="H864" s="2">
        <v>3</v>
      </c>
      <c r="I864" s="2">
        <v>30</v>
      </c>
      <c r="J864" s="2">
        <v>90</v>
      </c>
    </row>
    <row r="865" spans="2:10" x14ac:dyDescent="0.25">
      <c r="B865" s="2">
        <v>862</v>
      </c>
      <c r="C865" s="6">
        <v>45077</v>
      </c>
      <c r="D865" s="2" t="s">
        <v>882</v>
      </c>
      <c r="E865" s="2" t="s">
        <v>17</v>
      </c>
      <c r="F865" s="2">
        <v>28</v>
      </c>
      <c r="G865" s="2" t="s">
        <v>23</v>
      </c>
      <c r="H865" s="2">
        <v>4</v>
      </c>
      <c r="I865" s="2">
        <v>300</v>
      </c>
      <c r="J865" s="2">
        <v>1200</v>
      </c>
    </row>
    <row r="866" spans="2:10" x14ac:dyDescent="0.25">
      <c r="B866" s="2">
        <v>863</v>
      </c>
      <c r="C866" s="6">
        <v>45040</v>
      </c>
      <c r="D866" s="2" t="s">
        <v>883</v>
      </c>
      <c r="E866" s="2" t="s">
        <v>20</v>
      </c>
      <c r="F866" s="2">
        <v>30</v>
      </c>
      <c r="G866" s="2" t="s">
        <v>23</v>
      </c>
      <c r="H866" s="2">
        <v>2</v>
      </c>
      <c r="I866" s="2">
        <v>25</v>
      </c>
      <c r="J866" s="2">
        <v>50</v>
      </c>
    </row>
    <row r="867" spans="2:10" x14ac:dyDescent="0.25">
      <c r="B867" s="2">
        <v>864</v>
      </c>
      <c r="C867" s="6">
        <v>45134</v>
      </c>
      <c r="D867" s="2" t="s">
        <v>884</v>
      </c>
      <c r="E867" s="2" t="s">
        <v>20</v>
      </c>
      <c r="F867" s="2">
        <v>51</v>
      </c>
      <c r="G867" s="2" t="s">
        <v>23</v>
      </c>
      <c r="H867" s="2">
        <v>1</v>
      </c>
      <c r="I867" s="2">
        <v>500</v>
      </c>
      <c r="J867" s="2">
        <v>500</v>
      </c>
    </row>
    <row r="868" spans="2:10" x14ac:dyDescent="0.25">
      <c r="B868" s="2">
        <v>865</v>
      </c>
      <c r="C868" s="6">
        <v>45281</v>
      </c>
      <c r="D868" s="2" t="s">
        <v>885</v>
      </c>
      <c r="E868" s="2" t="s">
        <v>20</v>
      </c>
      <c r="F868" s="2">
        <v>42</v>
      </c>
      <c r="G868" s="2" t="s">
        <v>21</v>
      </c>
      <c r="H868" s="2">
        <v>1</v>
      </c>
      <c r="I868" s="2">
        <v>300</v>
      </c>
      <c r="J868" s="2">
        <v>300</v>
      </c>
    </row>
    <row r="869" spans="2:10" x14ac:dyDescent="0.25">
      <c r="B869" s="2">
        <v>866</v>
      </c>
      <c r="C869" s="6">
        <v>45051</v>
      </c>
      <c r="D869" s="2" t="s">
        <v>886</v>
      </c>
      <c r="E869" s="2" t="s">
        <v>17</v>
      </c>
      <c r="F869" s="2">
        <v>24</v>
      </c>
      <c r="G869" s="2" t="s">
        <v>23</v>
      </c>
      <c r="H869" s="2">
        <v>1</v>
      </c>
      <c r="I869" s="2">
        <v>50</v>
      </c>
      <c r="J869" s="2">
        <v>50</v>
      </c>
    </row>
    <row r="870" spans="2:10" x14ac:dyDescent="0.25">
      <c r="B870" s="2">
        <v>867</v>
      </c>
      <c r="C870" s="6">
        <v>45083</v>
      </c>
      <c r="D870" s="2" t="s">
        <v>887</v>
      </c>
      <c r="E870" s="2" t="s">
        <v>17</v>
      </c>
      <c r="F870" s="2">
        <v>21</v>
      </c>
      <c r="G870" s="2" t="s">
        <v>23</v>
      </c>
      <c r="H870" s="2">
        <v>1</v>
      </c>
      <c r="I870" s="2">
        <v>500</v>
      </c>
      <c r="J870" s="2">
        <v>500</v>
      </c>
    </row>
    <row r="871" spans="2:10" x14ac:dyDescent="0.25">
      <c r="B871" s="2">
        <v>868</v>
      </c>
      <c r="C871" s="6">
        <v>45266</v>
      </c>
      <c r="D871" s="2" t="s">
        <v>888</v>
      </c>
      <c r="E871" s="2" t="s">
        <v>20</v>
      </c>
      <c r="F871" s="2">
        <v>25</v>
      </c>
      <c r="G871" s="2" t="s">
        <v>23</v>
      </c>
      <c r="H871" s="2">
        <v>1</v>
      </c>
      <c r="I871" s="2">
        <v>300</v>
      </c>
      <c r="J871" s="2">
        <v>300</v>
      </c>
    </row>
    <row r="872" spans="2:10" x14ac:dyDescent="0.25">
      <c r="B872" s="2">
        <v>869</v>
      </c>
      <c r="C872" s="6">
        <v>45224</v>
      </c>
      <c r="D872" s="2" t="s">
        <v>889</v>
      </c>
      <c r="E872" s="2" t="s">
        <v>17</v>
      </c>
      <c r="F872" s="2">
        <v>37</v>
      </c>
      <c r="G872" s="2" t="s">
        <v>18</v>
      </c>
      <c r="H872" s="2">
        <v>3</v>
      </c>
      <c r="I872" s="2">
        <v>500</v>
      </c>
      <c r="J872" s="2">
        <v>1500</v>
      </c>
    </row>
    <row r="873" spans="2:10" x14ac:dyDescent="0.25">
      <c r="B873" s="2">
        <v>870</v>
      </c>
      <c r="C873" s="6">
        <v>45115</v>
      </c>
      <c r="D873" s="2" t="s">
        <v>890</v>
      </c>
      <c r="E873" s="2" t="s">
        <v>20</v>
      </c>
      <c r="F873" s="2">
        <v>46</v>
      </c>
      <c r="G873" s="2" t="s">
        <v>23</v>
      </c>
      <c r="H873" s="2">
        <v>4</v>
      </c>
      <c r="I873" s="2">
        <v>30</v>
      </c>
      <c r="J873" s="2">
        <v>120</v>
      </c>
    </row>
    <row r="874" spans="2:10" x14ac:dyDescent="0.25">
      <c r="B874" s="2">
        <v>871</v>
      </c>
      <c r="C874" s="6">
        <v>45169</v>
      </c>
      <c r="D874" s="2" t="s">
        <v>891</v>
      </c>
      <c r="E874" s="2" t="s">
        <v>17</v>
      </c>
      <c r="F874" s="2">
        <v>62</v>
      </c>
      <c r="G874" s="2" t="s">
        <v>18</v>
      </c>
      <c r="H874" s="2">
        <v>2</v>
      </c>
      <c r="I874" s="2">
        <v>30</v>
      </c>
      <c r="J874" s="2">
        <v>60</v>
      </c>
    </row>
    <row r="875" spans="2:10" x14ac:dyDescent="0.25">
      <c r="B875" s="2">
        <v>872</v>
      </c>
      <c r="C875" s="6">
        <v>45210</v>
      </c>
      <c r="D875" s="2" t="s">
        <v>892</v>
      </c>
      <c r="E875" s="2" t="s">
        <v>20</v>
      </c>
      <c r="F875" s="2">
        <v>63</v>
      </c>
      <c r="G875" s="2" t="s">
        <v>18</v>
      </c>
      <c r="H875" s="2">
        <v>3</v>
      </c>
      <c r="I875" s="2">
        <v>25</v>
      </c>
      <c r="J875" s="2">
        <v>75</v>
      </c>
    </row>
    <row r="876" spans="2:10" x14ac:dyDescent="0.25">
      <c r="B876" s="2">
        <v>873</v>
      </c>
      <c r="C876" s="6">
        <v>45198</v>
      </c>
      <c r="D876" s="2" t="s">
        <v>893</v>
      </c>
      <c r="E876" s="2" t="s">
        <v>20</v>
      </c>
      <c r="F876" s="2">
        <v>27</v>
      </c>
      <c r="G876" s="2" t="s">
        <v>23</v>
      </c>
      <c r="H876" s="2">
        <v>4</v>
      </c>
      <c r="I876" s="2">
        <v>25</v>
      </c>
      <c r="J876" s="2">
        <v>100</v>
      </c>
    </row>
    <row r="877" spans="2:10" x14ac:dyDescent="0.25">
      <c r="B877" s="2">
        <v>874</v>
      </c>
      <c r="C877" s="6">
        <v>45103</v>
      </c>
      <c r="D877" s="2" t="s">
        <v>894</v>
      </c>
      <c r="E877" s="2" t="s">
        <v>17</v>
      </c>
      <c r="F877" s="2">
        <v>60</v>
      </c>
      <c r="G877" s="2" t="s">
        <v>18</v>
      </c>
      <c r="H877" s="2">
        <v>1</v>
      </c>
      <c r="I877" s="2">
        <v>30</v>
      </c>
      <c r="J877" s="2">
        <v>30</v>
      </c>
    </row>
    <row r="878" spans="2:10" x14ac:dyDescent="0.25">
      <c r="B878" s="2">
        <v>875</v>
      </c>
      <c r="C878" s="6">
        <v>45144</v>
      </c>
      <c r="D878" s="2" t="s">
        <v>895</v>
      </c>
      <c r="E878" s="2" t="s">
        <v>20</v>
      </c>
      <c r="F878" s="2">
        <v>51</v>
      </c>
      <c r="G878" s="2" t="s">
        <v>23</v>
      </c>
      <c r="H878" s="2">
        <v>4</v>
      </c>
      <c r="I878" s="2">
        <v>500</v>
      </c>
      <c r="J878" s="2">
        <v>2000</v>
      </c>
    </row>
    <row r="879" spans="2:10" x14ac:dyDescent="0.25">
      <c r="B879" s="2">
        <v>876</v>
      </c>
      <c r="C879" s="6">
        <v>45208</v>
      </c>
      <c r="D879" s="2" t="s">
        <v>896</v>
      </c>
      <c r="E879" s="2" t="s">
        <v>17</v>
      </c>
      <c r="F879" s="2">
        <v>43</v>
      </c>
      <c r="G879" s="2" t="s">
        <v>21</v>
      </c>
      <c r="H879" s="2">
        <v>4</v>
      </c>
      <c r="I879" s="2">
        <v>30</v>
      </c>
      <c r="J879" s="2">
        <v>120</v>
      </c>
    </row>
    <row r="880" spans="2:10" x14ac:dyDescent="0.25">
      <c r="B880" s="2">
        <v>877</v>
      </c>
      <c r="C880" s="6">
        <v>45096</v>
      </c>
      <c r="D880" s="2" t="s">
        <v>897</v>
      </c>
      <c r="E880" s="2" t="s">
        <v>20</v>
      </c>
      <c r="F880" s="2">
        <v>58</v>
      </c>
      <c r="G880" s="2" t="s">
        <v>21</v>
      </c>
      <c r="H880" s="2">
        <v>1</v>
      </c>
      <c r="I880" s="2">
        <v>25</v>
      </c>
      <c r="J880" s="2">
        <v>25</v>
      </c>
    </row>
    <row r="881" spans="2:10" x14ac:dyDescent="0.25">
      <c r="B881" s="2">
        <v>878</v>
      </c>
      <c r="C881" s="6">
        <v>45107</v>
      </c>
      <c r="D881" s="2" t="s">
        <v>898</v>
      </c>
      <c r="E881" s="2" t="s">
        <v>20</v>
      </c>
      <c r="F881" s="2">
        <v>20</v>
      </c>
      <c r="G881" s="2" t="s">
        <v>21</v>
      </c>
      <c r="H881" s="2">
        <v>1</v>
      </c>
      <c r="I881" s="2">
        <v>30</v>
      </c>
      <c r="J881" s="2">
        <v>30</v>
      </c>
    </row>
    <row r="882" spans="2:10" x14ac:dyDescent="0.25">
      <c r="B882" s="2">
        <v>879</v>
      </c>
      <c r="C882" s="6">
        <v>45286</v>
      </c>
      <c r="D882" s="2" t="s">
        <v>899</v>
      </c>
      <c r="E882" s="2" t="s">
        <v>17</v>
      </c>
      <c r="F882" s="2">
        <v>23</v>
      </c>
      <c r="G882" s="2" t="s">
        <v>21</v>
      </c>
      <c r="H882" s="2">
        <v>1</v>
      </c>
      <c r="I882" s="2">
        <v>30</v>
      </c>
      <c r="J882" s="2">
        <v>30</v>
      </c>
    </row>
    <row r="883" spans="2:10" x14ac:dyDescent="0.25">
      <c r="B883" s="2">
        <v>880</v>
      </c>
      <c r="C883" s="6">
        <v>45159</v>
      </c>
      <c r="D883" s="2" t="s">
        <v>900</v>
      </c>
      <c r="E883" s="2" t="s">
        <v>17</v>
      </c>
      <c r="F883" s="2">
        <v>22</v>
      </c>
      <c r="G883" s="2" t="s">
        <v>18</v>
      </c>
      <c r="H883" s="2">
        <v>2</v>
      </c>
      <c r="I883" s="2">
        <v>500</v>
      </c>
      <c r="J883" s="2">
        <v>1000</v>
      </c>
    </row>
    <row r="884" spans="2:10" x14ac:dyDescent="0.25">
      <c r="B884" s="2">
        <v>881</v>
      </c>
      <c r="C884" s="6">
        <v>45065</v>
      </c>
      <c r="D884" s="2" t="s">
        <v>901</v>
      </c>
      <c r="E884" s="2" t="s">
        <v>17</v>
      </c>
      <c r="F884" s="2">
        <v>22</v>
      </c>
      <c r="G884" s="2" t="s">
        <v>23</v>
      </c>
      <c r="H884" s="2">
        <v>1</v>
      </c>
      <c r="I884" s="2">
        <v>300</v>
      </c>
      <c r="J884" s="2">
        <v>300</v>
      </c>
    </row>
    <row r="885" spans="2:10" x14ac:dyDescent="0.25">
      <c r="B885" s="2">
        <v>882</v>
      </c>
      <c r="C885" s="6">
        <v>45083</v>
      </c>
      <c r="D885" s="2" t="s">
        <v>902</v>
      </c>
      <c r="E885" s="2" t="s">
        <v>20</v>
      </c>
      <c r="F885" s="2">
        <v>64</v>
      </c>
      <c r="G885" s="2" t="s">
        <v>23</v>
      </c>
      <c r="H885" s="2">
        <v>2</v>
      </c>
      <c r="I885" s="2">
        <v>25</v>
      </c>
      <c r="J885" s="2">
        <v>50</v>
      </c>
    </row>
    <row r="886" spans="2:10" x14ac:dyDescent="0.25">
      <c r="B886" s="2">
        <v>883</v>
      </c>
      <c r="C886" s="6">
        <v>45055</v>
      </c>
      <c r="D886" s="2" t="s">
        <v>903</v>
      </c>
      <c r="E886" s="2" t="s">
        <v>17</v>
      </c>
      <c r="F886" s="2">
        <v>40</v>
      </c>
      <c r="G886" s="2" t="s">
        <v>23</v>
      </c>
      <c r="H886" s="2">
        <v>1</v>
      </c>
      <c r="I886" s="2">
        <v>500</v>
      </c>
      <c r="J886" s="2">
        <v>500</v>
      </c>
    </row>
    <row r="887" spans="2:10" x14ac:dyDescent="0.25">
      <c r="B887" s="2">
        <v>884</v>
      </c>
      <c r="C887" s="6">
        <v>45045</v>
      </c>
      <c r="D887" s="2" t="s">
        <v>904</v>
      </c>
      <c r="E887" s="2" t="s">
        <v>20</v>
      </c>
      <c r="F887" s="2">
        <v>26</v>
      </c>
      <c r="G887" s="2" t="s">
        <v>21</v>
      </c>
      <c r="H887" s="2">
        <v>2</v>
      </c>
      <c r="I887" s="2">
        <v>30</v>
      </c>
      <c r="J887" s="2">
        <v>60</v>
      </c>
    </row>
    <row r="888" spans="2:10" x14ac:dyDescent="0.25">
      <c r="B888" s="2">
        <v>885</v>
      </c>
      <c r="C888" s="6">
        <v>44988</v>
      </c>
      <c r="D888" s="2" t="s">
        <v>905</v>
      </c>
      <c r="E888" s="2" t="s">
        <v>20</v>
      </c>
      <c r="F888" s="2">
        <v>52</v>
      </c>
      <c r="G888" s="2" t="s">
        <v>21</v>
      </c>
      <c r="H888" s="2">
        <v>4</v>
      </c>
      <c r="I888" s="2">
        <v>30</v>
      </c>
      <c r="J888" s="2">
        <v>120</v>
      </c>
    </row>
    <row r="889" spans="2:10" x14ac:dyDescent="0.25">
      <c r="B889" s="2">
        <v>886</v>
      </c>
      <c r="C889" s="6">
        <v>45025</v>
      </c>
      <c r="D889" s="2" t="s">
        <v>906</v>
      </c>
      <c r="E889" s="2" t="s">
        <v>17</v>
      </c>
      <c r="F889" s="2">
        <v>37</v>
      </c>
      <c r="G889" s="2" t="s">
        <v>23</v>
      </c>
      <c r="H889" s="2">
        <v>3</v>
      </c>
      <c r="I889" s="2">
        <v>300</v>
      </c>
      <c r="J889" s="2">
        <v>900</v>
      </c>
    </row>
    <row r="890" spans="2:10" x14ac:dyDescent="0.25">
      <c r="B890" s="2">
        <v>887</v>
      </c>
      <c r="C890" s="6">
        <v>45088</v>
      </c>
      <c r="D890" s="2" t="s">
        <v>907</v>
      </c>
      <c r="E890" s="2" t="s">
        <v>17</v>
      </c>
      <c r="F890" s="2">
        <v>59</v>
      </c>
      <c r="G890" s="2" t="s">
        <v>21</v>
      </c>
      <c r="H890" s="2">
        <v>4</v>
      </c>
      <c r="I890" s="2">
        <v>25</v>
      </c>
      <c r="J890" s="2">
        <v>100</v>
      </c>
    </row>
    <row r="891" spans="2:10" x14ac:dyDescent="0.25">
      <c r="B891" s="2">
        <v>888</v>
      </c>
      <c r="C891" s="6">
        <v>44988</v>
      </c>
      <c r="D891" s="2" t="s">
        <v>908</v>
      </c>
      <c r="E891" s="2" t="s">
        <v>20</v>
      </c>
      <c r="F891" s="2">
        <v>52</v>
      </c>
      <c r="G891" s="2" t="s">
        <v>23</v>
      </c>
      <c r="H891" s="2">
        <v>4</v>
      </c>
      <c r="I891" s="2">
        <v>25</v>
      </c>
      <c r="J891" s="2">
        <v>100</v>
      </c>
    </row>
    <row r="892" spans="2:10" x14ac:dyDescent="0.25">
      <c r="B892" s="2">
        <v>889</v>
      </c>
      <c r="C892" s="6">
        <v>45201</v>
      </c>
      <c r="D892" s="2" t="s">
        <v>909</v>
      </c>
      <c r="E892" s="2" t="s">
        <v>20</v>
      </c>
      <c r="F892" s="2">
        <v>35</v>
      </c>
      <c r="G892" s="2" t="s">
        <v>23</v>
      </c>
      <c r="H892" s="2">
        <v>1</v>
      </c>
      <c r="I892" s="2">
        <v>50</v>
      </c>
      <c r="J892" s="2">
        <v>50</v>
      </c>
    </row>
    <row r="893" spans="2:10" x14ac:dyDescent="0.25">
      <c r="B893" s="2">
        <v>890</v>
      </c>
      <c r="C893" s="6">
        <v>45280</v>
      </c>
      <c r="D893" s="2" t="s">
        <v>910</v>
      </c>
      <c r="E893" s="2" t="s">
        <v>17</v>
      </c>
      <c r="F893" s="2">
        <v>34</v>
      </c>
      <c r="G893" s="2" t="s">
        <v>23</v>
      </c>
      <c r="H893" s="2">
        <v>2</v>
      </c>
      <c r="I893" s="2">
        <v>25</v>
      </c>
      <c r="J893" s="2">
        <v>50</v>
      </c>
    </row>
    <row r="894" spans="2:10" x14ac:dyDescent="0.25">
      <c r="B894" s="2">
        <v>891</v>
      </c>
      <c r="C894" s="6">
        <v>45021</v>
      </c>
      <c r="D894" s="2" t="s">
        <v>911</v>
      </c>
      <c r="E894" s="2" t="s">
        <v>17</v>
      </c>
      <c r="F894" s="2">
        <v>41</v>
      </c>
      <c r="G894" s="2" t="s">
        <v>23</v>
      </c>
      <c r="H894" s="2">
        <v>3</v>
      </c>
      <c r="I894" s="2">
        <v>300</v>
      </c>
      <c r="J894" s="2">
        <v>900</v>
      </c>
    </row>
    <row r="895" spans="2:10" x14ac:dyDescent="0.25">
      <c r="B895" s="2">
        <v>892</v>
      </c>
      <c r="C895" s="6">
        <v>45025</v>
      </c>
      <c r="D895" s="2" t="s">
        <v>912</v>
      </c>
      <c r="E895" s="2" t="s">
        <v>17</v>
      </c>
      <c r="F895" s="2">
        <v>20</v>
      </c>
      <c r="G895" s="2" t="s">
        <v>23</v>
      </c>
      <c r="H895" s="2">
        <v>1</v>
      </c>
      <c r="I895" s="2">
        <v>50</v>
      </c>
      <c r="J895" s="2">
        <v>50</v>
      </c>
    </row>
    <row r="896" spans="2:10" x14ac:dyDescent="0.25">
      <c r="B896" s="2">
        <v>893</v>
      </c>
      <c r="C896" s="6">
        <v>45037</v>
      </c>
      <c r="D896" s="2" t="s">
        <v>913</v>
      </c>
      <c r="E896" s="2" t="s">
        <v>17</v>
      </c>
      <c r="F896" s="2">
        <v>49</v>
      </c>
      <c r="G896" s="2" t="s">
        <v>23</v>
      </c>
      <c r="H896" s="2">
        <v>1</v>
      </c>
      <c r="I896" s="2">
        <v>50</v>
      </c>
      <c r="J896" s="2">
        <v>50</v>
      </c>
    </row>
    <row r="897" spans="2:10" x14ac:dyDescent="0.25">
      <c r="B897" s="2">
        <v>894</v>
      </c>
      <c r="C897" s="6">
        <v>45174</v>
      </c>
      <c r="D897" s="2" t="s">
        <v>914</v>
      </c>
      <c r="E897" s="2" t="s">
        <v>17</v>
      </c>
      <c r="F897" s="2">
        <v>52</v>
      </c>
      <c r="G897" s="2" t="s">
        <v>23</v>
      </c>
      <c r="H897" s="2">
        <v>1</v>
      </c>
      <c r="I897" s="2">
        <v>30</v>
      </c>
      <c r="J897" s="2">
        <v>30</v>
      </c>
    </row>
    <row r="898" spans="2:10" x14ac:dyDescent="0.25">
      <c r="B898" s="2">
        <v>895</v>
      </c>
      <c r="C898" s="6">
        <v>45068</v>
      </c>
      <c r="D898" s="2" t="s">
        <v>915</v>
      </c>
      <c r="E898" s="2" t="s">
        <v>20</v>
      </c>
      <c r="F898" s="2">
        <v>55</v>
      </c>
      <c r="G898" s="2" t="s">
        <v>21</v>
      </c>
      <c r="H898" s="2">
        <v>4</v>
      </c>
      <c r="I898" s="2">
        <v>30</v>
      </c>
      <c r="J898" s="2">
        <v>120</v>
      </c>
    </row>
    <row r="899" spans="2:10" x14ac:dyDescent="0.25">
      <c r="B899" s="2">
        <v>896</v>
      </c>
      <c r="C899" s="6">
        <v>45228</v>
      </c>
      <c r="D899" s="2" t="s">
        <v>916</v>
      </c>
      <c r="E899" s="2" t="s">
        <v>20</v>
      </c>
      <c r="F899" s="2">
        <v>30</v>
      </c>
      <c r="G899" s="2" t="s">
        <v>23</v>
      </c>
      <c r="H899" s="2">
        <v>2</v>
      </c>
      <c r="I899" s="2">
        <v>25</v>
      </c>
      <c r="J899" s="2">
        <v>50</v>
      </c>
    </row>
    <row r="900" spans="2:10" x14ac:dyDescent="0.25">
      <c r="B900" s="2">
        <v>897</v>
      </c>
      <c r="C900" s="6">
        <v>45195</v>
      </c>
      <c r="D900" s="2" t="s">
        <v>917</v>
      </c>
      <c r="E900" s="2" t="s">
        <v>20</v>
      </c>
      <c r="F900" s="2">
        <v>64</v>
      </c>
      <c r="G900" s="2" t="s">
        <v>23</v>
      </c>
      <c r="H900" s="2">
        <v>2</v>
      </c>
      <c r="I900" s="2">
        <v>50</v>
      </c>
      <c r="J900" s="2">
        <v>100</v>
      </c>
    </row>
    <row r="901" spans="2:10" x14ac:dyDescent="0.25">
      <c r="B901" s="2">
        <v>898</v>
      </c>
      <c r="C901" s="6">
        <v>45232</v>
      </c>
      <c r="D901" s="2" t="s">
        <v>918</v>
      </c>
      <c r="E901" s="2" t="s">
        <v>20</v>
      </c>
      <c r="F901" s="2">
        <v>42</v>
      </c>
      <c r="G901" s="2" t="s">
        <v>21</v>
      </c>
      <c r="H901" s="2">
        <v>3</v>
      </c>
      <c r="I901" s="2">
        <v>30</v>
      </c>
      <c r="J901" s="2">
        <v>90</v>
      </c>
    </row>
    <row r="902" spans="2:10" x14ac:dyDescent="0.25">
      <c r="B902" s="2">
        <v>899</v>
      </c>
      <c r="C902" s="6">
        <v>45071</v>
      </c>
      <c r="D902" s="2" t="s">
        <v>919</v>
      </c>
      <c r="E902" s="2" t="s">
        <v>17</v>
      </c>
      <c r="F902" s="2">
        <v>26</v>
      </c>
      <c r="G902" s="2" t="s">
        <v>21</v>
      </c>
      <c r="H902" s="2">
        <v>2</v>
      </c>
      <c r="I902" s="2">
        <v>300</v>
      </c>
      <c r="J902" s="2">
        <v>600</v>
      </c>
    </row>
    <row r="903" spans="2:10" x14ac:dyDescent="0.25">
      <c r="B903" s="2">
        <v>900</v>
      </c>
      <c r="C903" s="6">
        <v>44978</v>
      </c>
      <c r="D903" s="2" t="s">
        <v>920</v>
      </c>
      <c r="E903" s="2" t="s">
        <v>17</v>
      </c>
      <c r="F903" s="2">
        <v>21</v>
      </c>
      <c r="G903" s="2" t="s">
        <v>21</v>
      </c>
      <c r="H903" s="2">
        <v>2</v>
      </c>
      <c r="I903" s="2">
        <v>30</v>
      </c>
      <c r="J903" s="2">
        <v>60</v>
      </c>
    </row>
    <row r="904" spans="2:10" x14ac:dyDescent="0.25">
      <c r="B904" s="2">
        <v>901</v>
      </c>
      <c r="C904" s="6">
        <v>45026</v>
      </c>
      <c r="D904" s="2" t="s">
        <v>921</v>
      </c>
      <c r="E904" s="2" t="s">
        <v>17</v>
      </c>
      <c r="F904" s="2">
        <v>31</v>
      </c>
      <c r="G904" s="2" t="s">
        <v>23</v>
      </c>
      <c r="H904" s="2">
        <v>1</v>
      </c>
      <c r="I904" s="2">
        <v>30</v>
      </c>
      <c r="J904" s="2">
        <v>30</v>
      </c>
    </row>
    <row r="905" spans="2:10" x14ac:dyDescent="0.25">
      <c r="B905" s="2">
        <v>902</v>
      </c>
      <c r="C905" s="6">
        <v>45078</v>
      </c>
      <c r="D905" s="2" t="s">
        <v>922</v>
      </c>
      <c r="E905" s="2" t="s">
        <v>20</v>
      </c>
      <c r="F905" s="2">
        <v>54</v>
      </c>
      <c r="G905" s="2" t="s">
        <v>18</v>
      </c>
      <c r="H905" s="2">
        <v>1</v>
      </c>
      <c r="I905" s="2">
        <v>50</v>
      </c>
      <c r="J905" s="2">
        <v>50</v>
      </c>
    </row>
    <row r="906" spans="2:10" x14ac:dyDescent="0.25">
      <c r="B906" s="2">
        <v>903</v>
      </c>
      <c r="C906" s="6">
        <v>45043</v>
      </c>
      <c r="D906" s="2" t="s">
        <v>923</v>
      </c>
      <c r="E906" s="2" t="s">
        <v>20</v>
      </c>
      <c r="F906" s="2">
        <v>51</v>
      </c>
      <c r="G906" s="2" t="s">
        <v>18</v>
      </c>
      <c r="H906" s="2">
        <v>4</v>
      </c>
      <c r="I906" s="2">
        <v>50</v>
      </c>
      <c r="J906" s="2">
        <v>200</v>
      </c>
    </row>
    <row r="907" spans="2:10" x14ac:dyDescent="0.25">
      <c r="B907" s="2">
        <v>904</v>
      </c>
      <c r="C907" s="6">
        <v>45111</v>
      </c>
      <c r="D907" s="2" t="s">
        <v>924</v>
      </c>
      <c r="E907" s="2" t="s">
        <v>17</v>
      </c>
      <c r="F907" s="2">
        <v>28</v>
      </c>
      <c r="G907" s="2" t="s">
        <v>21</v>
      </c>
      <c r="H907" s="2">
        <v>1</v>
      </c>
      <c r="I907" s="2">
        <v>500</v>
      </c>
      <c r="J907" s="2">
        <v>500</v>
      </c>
    </row>
    <row r="908" spans="2:10" x14ac:dyDescent="0.25">
      <c r="B908" s="2">
        <v>905</v>
      </c>
      <c r="C908" s="6">
        <v>45018</v>
      </c>
      <c r="D908" s="2" t="s">
        <v>925</v>
      </c>
      <c r="E908" s="2" t="s">
        <v>17</v>
      </c>
      <c r="F908" s="2">
        <v>58</v>
      </c>
      <c r="G908" s="2" t="s">
        <v>18</v>
      </c>
      <c r="H908" s="2">
        <v>1</v>
      </c>
      <c r="I908" s="2">
        <v>300</v>
      </c>
      <c r="J908" s="2">
        <v>300</v>
      </c>
    </row>
    <row r="909" spans="2:10" x14ac:dyDescent="0.25">
      <c r="B909" s="2">
        <v>906</v>
      </c>
      <c r="C909" s="6">
        <v>45081</v>
      </c>
      <c r="D909" s="2" t="s">
        <v>926</v>
      </c>
      <c r="E909" s="2" t="s">
        <v>20</v>
      </c>
      <c r="F909" s="2">
        <v>20</v>
      </c>
      <c r="G909" s="2" t="s">
        <v>21</v>
      </c>
      <c r="H909" s="2">
        <v>1</v>
      </c>
      <c r="I909" s="2">
        <v>50</v>
      </c>
      <c r="J909" s="2">
        <v>50</v>
      </c>
    </row>
    <row r="910" spans="2:10" x14ac:dyDescent="0.25">
      <c r="B910" s="2">
        <v>907</v>
      </c>
      <c r="C910" s="6">
        <v>44934</v>
      </c>
      <c r="D910" s="2" t="s">
        <v>927</v>
      </c>
      <c r="E910" s="2" t="s">
        <v>20</v>
      </c>
      <c r="F910" s="2">
        <v>45</v>
      </c>
      <c r="G910" s="2" t="s">
        <v>23</v>
      </c>
      <c r="H910" s="2">
        <v>1</v>
      </c>
      <c r="I910" s="2">
        <v>25</v>
      </c>
      <c r="J910" s="2">
        <v>25</v>
      </c>
    </row>
    <row r="911" spans="2:10" x14ac:dyDescent="0.25">
      <c r="B911" s="2">
        <v>908</v>
      </c>
      <c r="C911" s="6">
        <v>45289</v>
      </c>
      <c r="D911" s="2" t="s">
        <v>928</v>
      </c>
      <c r="E911" s="2" t="s">
        <v>17</v>
      </c>
      <c r="F911" s="2">
        <v>46</v>
      </c>
      <c r="G911" s="2" t="s">
        <v>18</v>
      </c>
      <c r="H911" s="2">
        <v>4</v>
      </c>
      <c r="I911" s="2">
        <v>300</v>
      </c>
      <c r="J911" s="2">
        <v>1200</v>
      </c>
    </row>
    <row r="912" spans="2:10" x14ac:dyDescent="0.25">
      <c r="B912" s="2">
        <v>909</v>
      </c>
      <c r="C912" s="6">
        <v>45200</v>
      </c>
      <c r="D912" s="2" t="s">
        <v>929</v>
      </c>
      <c r="E912" s="2" t="s">
        <v>17</v>
      </c>
      <c r="F912" s="2">
        <v>26</v>
      </c>
      <c r="G912" s="2" t="s">
        <v>23</v>
      </c>
      <c r="H912" s="2">
        <v>1</v>
      </c>
      <c r="I912" s="2">
        <v>300</v>
      </c>
      <c r="J912" s="2">
        <v>300</v>
      </c>
    </row>
    <row r="913" spans="2:10" x14ac:dyDescent="0.25">
      <c r="B913" s="2">
        <v>910</v>
      </c>
      <c r="C913" s="6">
        <v>44991</v>
      </c>
      <c r="D913" s="2" t="s">
        <v>930</v>
      </c>
      <c r="E913" s="2" t="s">
        <v>20</v>
      </c>
      <c r="F913" s="2">
        <v>20</v>
      </c>
      <c r="G913" s="2" t="s">
        <v>18</v>
      </c>
      <c r="H913" s="2">
        <v>3</v>
      </c>
      <c r="I913" s="2">
        <v>50</v>
      </c>
      <c r="J913" s="2">
        <v>150</v>
      </c>
    </row>
    <row r="914" spans="2:10" x14ac:dyDescent="0.25">
      <c r="B914" s="2">
        <v>911</v>
      </c>
      <c r="C914" s="6">
        <v>45067</v>
      </c>
      <c r="D914" s="2" t="s">
        <v>931</v>
      </c>
      <c r="E914" s="2" t="s">
        <v>17</v>
      </c>
      <c r="F914" s="2">
        <v>42</v>
      </c>
      <c r="G914" s="2" t="s">
        <v>23</v>
      </c>
      <c r="H914" s="2">
        <v>3</v>
      </c>
      <c r="I914" s="2">
        <v>300</v>
      </c>
      <c r="J914" s="2">
        <v>900</v>
      </c>
    </row>
    <row r="915" spans="2:10" x14ac:dyDescent="0.25">
      <c r="B915" s="2">
        <v>912</v>
      </c>
      <c r="C915" s="6">
        <v>44950</v>
      </c>
      <c r="D915" s="2" t="s">
        <v>932</v>
      </c>
      <c r="E915" s="2" t="s">
        <v>17</v>
      </c>
      <c r="F915" s="2">
        <v>51</v>
      </c>
      <c r="G915" s="2" t="s">
        <v>18</v>
      </c>
      <c r="H915" s="2">
        <v>3</v>
      </c>
      <c r="I915" s="2">
        <v>50</v>
      </c>
      <c r="J915" s="2">
        <v>150</v>
      </c>
    </row>
    <row r="916" spans="2:10" x14ac:dyDescent="0.25">
      <c r="B916" s="2">
        <v>913</v>
      </c>
      <c r="C916" s="6">
        <v>44954</v>
      </c>
      <c r="D916" s="2" t="s">
        <v>933</v>
      </c>
      <c r="E916" s="2" t="s">
        <v>17</v>
      </c>
      <c r="F916" s="2">
        <v>29</v>
      </c>
      <c r="G916" s="2" t="s">
        <v>23</v>
      </c>
      <c r="H916" s="2">
        <v>3</v>
      </c>
      <c r="I916" s="2">
        <v>30</v>
      </c>
      <c r="J916" s="2">
        <v>90</v>
      </c>
    </row>
    <row r="917" spans="2:10" x14ac:dyDescent="0.25">
      <c r="B917" s="2">
        <v>914</v>
      </c>
      <c r="C917" s="6">
        <v>45210</v>
      </c>
      <c r="D917" s="2" t="s">
        <v>934</v>
      </c>
      <c r="E917" s="2" t="s">
        <v>20</v>
      </c>
      <c r="F917" s="2">
        <v>59</v>
      </c>
      <c r="G917" s="2" t="s">
        <v>23</v>
      </c>
      <c r="H917" s="2">
        <v>1</v>
      </c>
      <c r="I917" s="2">
        <v>500</v>
      </c>
      <c r="J917" s="2">
        <v>500</v>
      </c>
    </row>
    <row r="918" spans="2:10" x14ac:dyDescent="0.25">
      <c r="B918" s="2">
        <v>915</v>
      </c>
      <c r="C918" s="6">
        <v>45076</v>
      </c>
      <c r="D918" s="2" t="s">
        <v>935</v>
      </c>
      <c r="E918" s="2" t="s">
        <v>20</v>
      </c>
      <c r="F918" s="2">
        <v>26</v>
      </c>
      <c r="G918" s="2" t="s">
        <v>18</v>
      </c>
      <c r="H918" s="2">
        <v>3</v>
      </c>
      <c r="I918" s="2">
        <v>30</v>
      </c>
      <c r="J918" s="2">
        <v>90</v>
      </c>
    </row>
    <row r="919" spans="2:10" x14ac:dyDescent="0.25">
      <c r="B919" s="2">
        <v>916</v>
      </c>
      <c r="C919" s="6">
        <v>45284</v>
      </c>
      <c r="D919" s="2" t="s">
        <v>936</v>
      </c>
      <c r="E919" s="2" t="s">
        <v>20</v>
      </c>
      <c r="F919" s="2">
        <v>32</v>
      </c>
      <c r="G919" s="2" t="s">
        <v>23</v>
      </c>
      <c r="H919" s="2">
        <v>1</v>
      </c>
      <c r="I919" s="2">
        <v>50</v>
      </c>
      <c r="J919" s="2">
        <v>50</v>
      </c>
    </row>
    <row r="920" spans="2:10" x14ac:dyDescent="0.25">
      <c r="B920" s="2">
        <v>917</v>
      </c>
      <c r="C920" s="6">
        <v>44991</v>
      </c>
      <c r="D920" s="2" t="s">
        <v>937</v>
      </c>
      <c r="E920" s="2" t="s">
        <v>20</v>
      </c>
      <c r="F920" s="2">
        <v>57</v>
      </c>
      <c r="G920" s="2" t="s">
        <v>23</v>
      </c>
      <c r="H920" s="2">
        <v>4</v>
      </c>
      <c r="I920" s="2">
        <v>50</v>
      </c>
      <c r="J920" s="2">
        <v>200</v>
      </c>
    </row>
    <row r="921" spans="2:10" x14ac:dyDescent="0.25">
      <c r="B921" s="2">
        <v>918</v>
      </c>
      <c r="C921" s="6">
        <v>45253</v>
      </c>
      <c r="D921" s="2" t="s">
        <v>938</v>
      </c>
      <c r="E921" s="2" t="s">
        <v>20</v>
      </c>
      <c r="F921" s="2">
        <v>42</v>
      </c>
      <c r="G921" s="2" t="s">
        <v>23</v>
      </c>
      <c r="H921" s="2">
        <v>3</v>
      </c>
      <c r="I921" s="2">
        <v>30</v>
      </c>
      <c r="J921" s="2">
        <v>90</v>
      </c>
    </row>
    <row r="922" spans="2:10" x14ac:dyDescent="0.25">
      <c r="B922" s="2">
        <v>919</v>
      </c>
      <c r="C922" s="6">
        <v>45178</v>
      </c>
      <c r="D922" s="2" t="s">
        <v>939</v>
      </c>
      <c r="E922" s="2" t="s">
        <v>20</v>
      </c>
      <c r="F922" s="2">
        <v>22</v>
      </c>
      <c r="G922" s="2" t="s">
        <v>18</v>
      </c>
      <c r="H922" s="2">
        <v>2</v>
      </c>
      <c r="I922" s="2">
        <v>25</v>
      </c>
      <c r="J922" s="2">
        <v>50</v>
      </c>
    </row>
    <row r="923" spans="2:10" x14ac:dyDescent="0.25">
      <c r="B923" s="2">
        <v>920</v>
      </c>
      <c r="C923" s="6">
        <v>44979</v>
      </c>
      <c r="D923" s="2" t="s">
        <v>940</v>
      </c>
      <c r="E923" s="2" t="s">
        <v>20</v>
      </c>
      <c r="F923" s="2">
        <v>28</v>
      </c>
      <c r="G923" s="2" t="s">
        <v>18</v>
      </c>
      <c r="H923" s="2">
        <v>3</v>
      </c>
      <c r="I923" s="2">
        <v>25</v>
      </c>
      <c r="J923" s="2">
        <v>75</v>
      </c>
    </row>
    <row r="924" spans="2:10" x14ac:dyDescent="0.25">
      <c r="B924" s="2">
        <v>921</v>
      </c>
      <c r="C924" s="6">
        <v>44933</v>
      </c>
      <c r="D924" s="2" t="s">
        <v>941</v>
      </c>
      <c r="E924" s="2" t="s">
        <v>17</v>
      </c>
      <c r="F924" s="2">
        <v>51</v>
      </c>
      <c r="G924" s="2" t="s">
        <v>23</v>
      </c>
      <c r="H924" s="2">
        <v>3</v>
      </c>
      <c r="I924" s="2">
        <v>25</v>
      </c>
      <c r="J924" s="2">
        <v>75</v>
      </c>
    </row>
    <row r="925" spans="2:10" x14ac:dyDescent="0.25">
      <c r="B925" s="2">
        <v>922</v>
      </c>
      <c r="C925" s="6">
        <v>45220</v>
      </c>
      <c r="D925" s="2" t="s">
        <v>942</v>
      </c>
      <c r="E925" s="2" t="s">
        <v>17</v>
      </c>
      <c r="F925" s="2">
        <v>41</v>
      </c>
      <c r="G925" s="2" t="s">
        <v>23</v>
      </c>
      <c r="H925" s="2">
        <v>1</v>
      </c>
      <c r="I925" s="2">
        <v>50</v>
      </c>
      <c r="J925" s="2">
        <v>50</v>
      </c>
    </row>
    <row r="926" spans="2:10" x14ac:dyDescent="0.25">
      <c r="B926" s="2">
        <v>923</v>
      </c>
      <c r="C926" s="6">
        <v>45072</v>
      </c>
      <c r="D926" s="2" t="s">
        <v>943</v>
      </c>
      <c r="E926" s="2" t="s">
        <v>17</v>
      </c>
      <c r="F926" s="2">
        <v>32</v>
      </c>
      <c r="G926" s="2" t="s">
        <v>18</v>
      </c>
      <c r="H926" s="2">
        <v>3</v>
      </c>
      <c r="I926" s="2">
        <v>300</v>
      </c>
      <c r="J926" s="2">
        <v>900</v>
      </c>
    </row>
    <row r="927" spans="2:10" x14ac:dyDescent="0.25">
      <c r="B927" s="2">
        <v>924</v>
      </c>
      <c r="C927" s="6">
        <v>45167</v>
      </c>
      <c r="D927" s="2" t="s">
        <v>944</v>
      </c>
      <c r="E927" s="2" t="s">
        <v>17</v>
      </c>
      <c r="F927" s="2">
        <v>55</v>
      </c>
      <c r="G927" s="2" t="s">
        <v>18</v>
      </c>
      <c r="H927" s="2">
        <v>2</v>
      </c>
      <c r="I927" s="2">
        <v>50</v>
      </c>
      <c r="J927" s="2">
        <v>100</v>
      </c>
    </row>
    <row r="928" spans="2:10" x14ac:dyDescent="0.25">
      <c r="B928" s="2">
        <v>925</v>
      </c>
      <c r="C928" s="6">
        <v>45172</v>
      </c>
      <c r="D928" s="2" t="s">
        <v>945</v>
      </c>
      <c r="E928" s="2" t="s">
        <v>17</v>
      </c>
      <c r="F928" s="2">
        <v>25</v>
      </c>
      <c r="G928" s="2" t="s">
        <v>23</v>
      </c>
      <c r="H928" s="2">
        <v>1</v>
      </c>
      <c r="I928" s="2">
        <v>300</v>
      </c>
      <c r="J928" s="2">
        <v>300</v>
      </c>
    </row>
    <row r="929" spans="2:10" x14ac:dyDescent="0.25">
      <c r="B929" s="2">
        <v>926</v>
      </c>
      <c r="C929" s="6">
        <v>45152</v>
      </c>
      <c r="D929" s="2" t="s">
        <v>946</v>
      </c>
      <c r="E929" s="2" t="s">
        <v>17</v>
      </c>
      <c r="F929" s="2">
        <v>22</v>
      </c>
      <c r="G929" s="2" t="s">
        <v>23</v>
      </c>
      <c r="H929" s="2">
        <v>1</v>
      </c>
      <c r="I929" s="2">
        <v>30</v>
      </c>
      <c r="J929" s="2">
        <v>30</v>
      </c>
    </row>
    <row r="930" spans="2:10" x14ac:dyDescent="0.25">
      <c r="B930" s="2">
        <v>927</v>
      </c>
      <c r="C930" s="6">
        <v>45101</v>
      </c>
      <c r="D930" s="2" t="s">
        <v>947</v>
      </c>
      <c r="E930" s="2" t="s">
        <v>17</v>
      </c>
      <c r="F930" s="2">
        <v>43</v>
      </c>
      <c r="G930" s="2" t="s">
        <v>23</v>
      </c>
      <c r="H930" s="2">
        <v>4</v>
      </c>
      <c r="I930" s="2">
        <v>500</v>
      </c>
      <c r="J930" s="2">
        <v>2000</v>
      </c>
    </row>
    <row r="931" spans="2:10" x14ac:dyDescent="0.25">
      <c r="B931" s="2">
        <v>928</v>
      </c>
      <c r="C931" s="6">
        <v>45021</v>
      </c>
      <c r="D931" s="2" t="s">
        <v>948</v>
      </c>
      <c r="E931" s="2" t="s">
        <v>20</v>
      </c>
      <c r="F931" s="2">
        <v>35</v>
      </c>
      <c r="G931" s="2" t="s">
        <v>21</v>
      </c>
      <c r="H931" s="2">
        <v>4</v>
      </c>
      <c r="I931" s="2">
        <v>300</v>
      </c>
      <c r="J931" s="2">
        <v>1200</v>
      </c>
    </row>
    <row r="932" spans="2:10" x14ac:dyDescent="0.25">
      <c r="B932" s="2">
        <v>929</v>
      </c>
      <c r="C932" s="6">
        <v>44953</v>
      </c>
      <c r="D932" s="2" t="s">
        <v>949</v>
      </c>
      <c r="E932" s="2" t="s">
        <v>20</v>
      </c>
      <c r="F932" s="2">
        <v>23</v>
      </c>
      <c r="G932" s="2" t="s">
        <v>18</v>
      </c>
      <c r="H932" s="2">
        <v>3</v>
      </c>
      <c r="I932" s="2">
        <v>25</v>
      </c>
      <c r="J932" s="2">
        <v>75</v>
      </c>
    </row>
    <row r="933" spans="2:10" x14ac:dyDescent="0.25">
      <c r="B933" s="2">
        <v>930</v>
      </c>
      <c r="C933" s="6">
        <v>45056</v>
      </c>
      <c r="D933" s="2" t="s">
        <v>950</v>
      </c>
      <c r="E933" s="2" t="s">
        <v>17</v>
      </c>
      <c r="F933" s="2">
        <v>54</v>
      </c>
      <c r="G933" s="2" t="s">
        <v>21</v>
      </c>
      <c r="H933" s="2">
        <v>4</v>
      </c>
      <c r="I933" s="2">
        <v>50</v>
      </c>
      <c r="J933" s="2">
        <v>200</v>
      </c>
    </row>
    <row r="934" spans="2:10" x14ac:dyDescent="0.25">
      <c r="B934" s="2">
        <v>931</v>
      </c>
      <c r="C934" s="6">
        <v>45171</v>
      </c>
      <c r="D934" s="2" t="s">
        <v>951</v>
      </c>
      <c r="E934" s="2" t="s">
        <v>17</v>
      </c>
      <c r="F934" s="2">
        <v>30</v>
      </c>
      <c r="G934" s="2" t="s">
        <v>18</v>
      </c>
      <c r="H934" s="2">
        <v>4</v>
      </c>
      <c r="I934" s="2">
        <v>30</v>
      </c>
      <c r="J934" s="2">
        <v>120</v>
      </c>
    </row>
    <row r="935" spans="2:10" x14ac:dyDescent="0.25">
      <c r="B935" s="2">
        <v>932</v>
      </c>
      <c r="C935" s="6">
        <v>44985</v>
      </c>
      <c r="D935" s="2" t="s">
        <v>952</v>
      </c>
      <c r="E935" s="2" t="s">
        <v>20</v>
      </c>
      <c r="F935" s="2">
        <v>45</v>
      </c>
      <c r="G935" s="2" t="s">
        <v>18</v>
      </c>
      <c r="H935" s="2">
        <v>4</v>
      </c>
      <c r="I935" s="2">
        <v>25</v>
      </c>
      <c r="J935" s="2">
        <v>100</v>
      </c>
    </row>
    <row r="936" spans="2:10" x14ac:dyDescent="0.25">
      <c r="B936" s="2">
        <v>933</v>
      </c>
      <c r="C936" s="6">
        <v>44960</v>
      </c>
      <c r="D936" s="2" t="s">
        <v>953</v>
      </c>
      <c r="E936" s="2" t="s">
        <v>17</v>
      </c>
      <c r="F936" s="2">
        <v>22</v>
      </c>
      <c r="G936" s="2" t="s">
        <v>18</v>
      </c>
      <c r="H936" s="2">
        <v>1</v>
      </c>
      <c r="I936" s="2">
        <v>30</v>
      </c>
      <c r="J936" s="2">
        <v>30</v>
      </c>
    </row>
    <row r="937" spans="2:10" x14ac:dyDescent="0.25">
      <c r="B937" s="2">
        <v>934</v>
      </c>
      <c r="C937" s="6">
        <v>45132</v>
      </c>
      <c r="D937" s="2" t="s">
        <v>954</v>
      </c>
      <c r="E937" s="2" t="s">
        <v>17</v>
      </c>
      <c r="F937" s="2">
        <v>30</v>
      </c>
      <c r="G937" s="2" t="s">
        <v>18</v>
      </c>
      <c r="H937" s="2">
        <v>1</v>
      </c>
      <c r="I937" s="2">
        <v>500</v>
      </c>
      <c r="J937" s="2">
        <v>500</v>
      </c>
    </row>
    <row r="938" spans="2:10" x14ac:dyDescent="0.25">
      <c r="B938" s="2">
        <v>935</v>
      </c>
      <c r="C938" s="6">
        <v>45178</v>
      </c>
      <c r="D938" s="2" t="s">
        <v>955</v>
      </c>
      <c r="E938" s="2" t="s">
        <v>20</v>
      </c>
      <c r="F938" s="2">
        <v>34</v>
      </c>
      <c r="G938" s="2" t="s">
        <v>18</v>
      </c>
      <c r="H938" s="2">
        <v>1</v>
      </c>
      <c r="I938" s="2">
        <v>50</v>
      </c>
      <c r="J938" s="2">
        <v>50</v>
      </c>
    </row>
    <row r="939" spans="2:10" x14ac:dyDescent="0.25">
      <c r="B939" s="2">
        <v>936</v>
      </c>
      <c r="C939" s="6">
        <v>44964</v>
      </c>
      <c r="D939" s="2" t="s">
        <v>956</v>
      </c>
      <c r="E939" s="2" t="s">
        <v>17</v>
      </c>
      <c r="F939" s="2">
        <v>57</v>
      </c>
      <c r="G939" s="2" t="s">
        <v>18</v>
      </c>
      <c r="H939" s="2">
        <v>4</v>
      </c>
      <c r="I939" s="2">
        <v>50</v>
      </c>
      <c r="J939" s="2">
        <v>200</v>
      </c>
    </row>
    <row r="940" spans="2:10" x14ac:dyDescent="0.25">
      <c r="B940" s="2">
        <v>937</v>
      </c>
      <c r="C940" s="6">
        <v>45222</v>
      </c>
      <c r="D940" s="2" t="s">
        <v>957</v>
      </c>
      <c r="E940" s="2" t="s">
        <v>20</v>
      </c>
      <c r="F940" s="2">
        <v>62</v>
      </c>
      <c r="G940" s="2" t="s">
        <v>18</v>
      </c>
      <c r="H940" s="2">
        <v>1</v>
      </c>
      <c r="I940" s="2">
        <v>500</v>
      </c>
      <c r="J940" s="2">
        <v>500</v>
      </c>
    </row>
    <row r="941" spans="2:10" x14ac:dyDescent="0.25">
      <c r="B941" s="2">
        <v>938</v>
      </c>
      <c r="C941" s="6">
        <v>45249</v>
      </c>
      <c r="D941" s="2" t="s">
        <v>958</v>
      </c>
      <c r="E941" s="2" t="s">
        <v>17</v>
      </c>
      <c r="F941" s="2">
        <v>49</v>
      </c>
      <c r="G941" s="2" t="s">
        <v>21</v>
      </c>
      <c r="H941" s="2">
        <v>4</v>
      </c>
      <c r="I941" s="2">
        <v>50</v>
      </c>
      <c r="J941" s="2">
        <v>200</v>
      </c>
    </row>
    <row r="942" spans="2:10" x14ac:dyDescent="0.25">
      <c r="B942" s="2">
        <v>939</v>
      </c>
      <c r="C942" s="6">
        <v>45278</v>
      </c>
      <c r="D942" s="2" t="s">
        <v>959</v>
      </c>
      <c r="E942" s="2" t="s">
        <v>20</v>
      </c>
      <c r="F942" s="2">
        <v>46</v>
      </c>
      <c r="G942" s="2" t="s">
        <v>23</v>
      </c>
      <c r="H942" s="2">
        <v>1</v>
      </c>
      <c r="I942" s="2">
        <v>300</v>
      </c>
      <c r="J942" s="2">
        <v>300</v>
      </c>
    </row>
    <row r="943" spans="2:10" x14ac:dyDescent="0.25">
      <c r="B943" s="2">
        <v>940</v>
      </c>
      <c r="C943" s="6">
        <v>44954</v>
      </c>
      <c r="D943" s="2" t="s">
        <v>960</v>
      </c>
      <c r="E943" s="2" t="s">
        <v>20</v>
      </c>
      <c r="F943" s="2">
        <v>20</v>
      </c>
      <c r="G943" s="2" t="s">
        <v>23</v>
      </c>
      <c r="H943" s="2">
        <v>1</v>
      </c>
      <c r="I943" s="2">
        <v>30</v>
      </c>
      <c r="J943" s="2">
        <v>30</v>
      </c>
    </row>
    <row r="944" spans="2:10" x14ac:dyDescent="0.25">
      <c r="B944" s="2">
        <v>941</v>
      </c>
      <c r="C944" s="6">
        <v>45004</v>
      </c>
      <c r="D944" s="2" t="s">
        <v>961</v>
      </c>
      <c r="E944" s="2" t="s">
        <v>20</v>
      </c>
      <c r="F944" s="2">
        <v>57</v>
      </c>
      <c r="G944" s="2" t="s">
        <v>21</v>
      </c>
      <c r="H944" s="2">
        <v>2</v>
      </c>
      <c r="I944" s="2">
        <v>25</v>
      </c>
      <c r="J944" s="2">
        <v>50</v>
      </c>
    </row>
    <row r="945" spans="2:10" x14ac:dyDescent="0.25">
      <c r="B945" s="2">
        <v>942</v>
      </c>
      <c r="C945" s="6">
        <v>45003</v>
      </c>
      <c r="D945" s="2" t="s">
        <v>962</v>
      </c>
      <c r="E945" s="2" t="s">
        <v>17</v>
      </c>
      <c r="F945" s="2">
        <v>51</v>
      </c>
      <c r="G945" s="2" t="s">
        <v>21</v>
      </c>
      <c r="H945" s="2">
        <v>3</v>
      </c>
      <c r="I945" s="2">
        <v>500</v>
      </c>
      <c r="J945" s="2">
        <v>1500</v>
      </c>
    </row>
    <row r="946" spans="2:10" x14ac:dyDescent="0.25">
      <c r="B946" s="2">
        <v>943</v>
      </c>
      <c r="C946" s="6">
        <v>45215</v>
      </c>
      <c r="D946" s="2" t="s">
        <v>963</v>
      </c>
      <c r="E946" s="2" t="s">
        <v>20</v>
      </c>
      <c r="F946" s="2">
        <v>57</v>
      </c>
      <c r="G946" s="2" t="s">
        <v>21</v>
      </c>
      <c r="H946" s="2">
        <v>4</v>
      </c>
      <c r="I946" s="2">
        <v>300</v>
      </c>
      <c r="J946" s="2">
        <v>1200</v>
      </c>
    </row>
    <row r="947" spans="2:10" x14ac:dyDescent="0.25">
      <c r="B947" s="2">
        <v>944</v>
      </c>
      <c r="C947" s="6">
        <v>45082</v>
      </c>
      <c r="D947" s="2" t="s">
        <v>964</v>
      </c>
      <c r="E947" s="2" t="s">
        <v>17</v>
      </c>
      <c r="F947" s="2">
        <v>44</v>
      </c>
      <c r="G947" s="2" t="s">
        <v>21</v>
      </c>
      <c r="H947" s="2">
        <v>2</v>
      </c>
      <c r="I947" s="2">
        <v>25</v>
      </c>
      <c r="J947" s="2">
        <v>50</v>
      </c>
    </row>
    <row r="948" spans="2:10" x14ac:dyDescent="0.25">
      <c r="B948" s="2">
        <v>945</v>
      </c>
      <c r="C948" s="6">
        <v>44970</v>
      </c>
      <c r="D948" s="2" t="s">
        <v>965</v>
      </c>
      <c r="E948" s="2" t="s">
        <v>17</v>
      </c>
      <c r="F948" s="2">
        <v>30</v>
      </c>
      <c r="G948" s="2" t="s">
        <v>18</v>
      </c>
      <c r="H948" s="2">
        <v>1</v>
      </c>
      <c r="I948" s="2">
        <v>25</v>
      </c>
      <c r="J948" s="2">
        <v>25</v>
      </c>
    </row>
    <row r="949" spans="2:10" x14ac:dyDescent="0.25">
      <c r="B949" s="2">
        <v>946</v>
      </c>
      <c r="C949" s="6">
        <v>45054</v>
      </c>
      <c r="D949" s="2" t="s">
        <v>966</v>
      </c>
      <c r="E949" s="2" t="s">
        <v>17</v>
      </c>
      <c r="F949" s="2">
        <v>62</v>
      </c>
      <c r="G949" s="2" t="s">
        <v>23</v>
      </c>
      <c r="H949" s="2">
        <v>4</v>
      </c>
      <c r="I949" s="2">
        <v>500</v>
      </c>
      <c r="J949" s="2">
        <v>2000</v>
      </c>
    </row>
    <row r="950" spans="2:10" x14ac:dyDescent="0.25">
      <c r="B950" s="2">
        <v>947</v>
      </c>
      <c r="C950" s="6">
        <v>44987</v>
      </c>
      <c r="D950" s="2" t="s">
        <v>967</v>
      </c>
      <c r="E950" s="2" t="s">
        <v>17</v>
      </c>
      <c r="F950" s="2">
        <v>50</v>
      </c>
      <c r="G950" s="2" t="s">
        <v>18</v>
      </c>
      <c r="H950" s="2">
        <v>1</v>
      </c>
      <c r="I950" s="2">
        <v>300</v>
      </c>
      <c r="J950" s="2">
        <v>300</v>
      </c>
    </row>
    <row r="951" spans="2:10" x14ac:dyDescent="0.25">
      <c r="B951" s="2">
        <v>948</v>
      </c>
      <c r="C951" s="6">
        <v>45212</v>
      </c>
      <c r="D951" s="2" t="s">
        <v>968</v>
      </c>
      <c r="E951" s="2" t="s">
        <v>20</v>
      </c>
      <c r="F951" s="2">
        <v>23</v>
      </c>
      <c r="G951" s="2" t="s">
        <v>23</v>
      </c>
      <c r="H951" s="2">
        <v>3</v>
      </c>
      <c r="I951" s="2">
        <v>25</v>
      </c>
      <c r="J951" s="2">
        <v>75</v>
      </c>
    </row>
    <row r="952" spans="2:10" x14ac:dyDescent="0.25">
      <c r="B952" s="2">
        <v>949</v>
      </c>
      <c r="C952" s="6">
        <v>45140</v>
      </c>
      <c r="D952" s="2" t="s">
        <v>969</v>
      </c>
      <c r="E952" s="2" t="s">
        <v>20</v>
      </c>
      <c r="F952" s="2">
        <v>41</v>
      </c>
      <c r="G952" s="2" t="s">
        <v>23</v>
      </c>
      <c r="H952" s="2">
        <v>2</v>
      </c>
      <c r="I952" s="2">
        <v>25</v>
      </c>
      <c r="J952" s="2">
        <v>50</v>
      </c>
    </row>
    <row r="953" spans="2:10" x14ac:dyDescent="0.25">
      <c r="B953" s="2">
        <v>950</v>
      </c>
      <c r="C953" s="6">
        <v>45237</v>
      </c>
      <c r="D953" s="2" t="s">
        <v>970</v>
      </c>
      <c r="E953" s="2" t="s">
        <v>17</v>
      </c>
      <c r="F953" s="2">
        <v>36</v>
      </c>
      <c r="G953" s="2" t="s">
        <v>21</v>
      </c>
      <c r="H953" s="2">
        <v>3</v>
      </c>
      <c r="I953" s="2">
        <v>300</v>
      </c>
      <c r="J953" s="2">
        <v>900</v>
      </c>
    </row>
    <row r="954" spans="2:10" x14ac:dyDescent="0.25">
      <c r="B954" s="2">
        <v>951</v>
      </c>
      <c r="C954" s="6">
        <v>45232</v>
      </c>
      <c r="D954" s="2" t="s">
        <v>971</v>
      </c>
      <c r="E954" s="2" t="s">
        <v>17</v>
      </c>
      <c r="F954" s="2">
        <v>33</v>
      </c>
      <c r="G954" s="2" t="s">
        <v>18</v>
      </c>
      <c r="H954" s="2">
        <v>2</v>
      </c>
      <c r="I954" s="2">
        <v>50</v>
      </c>
      <c r="J954" s="2">
        <v>100</v>
      </c>
    </row>
    <row r="955" spans="2:10" x14ac:dyDescent="0.25">
      <c r="B955" s="2">
        <v>952</v>
      </c>
      <c r="C955" s="6">
        <v>45243</v>
      </c>
      <c r="D955" s="2" t="s">
        <v>972</v>
      </c>
      <c r="E955" s="2" t="s">
        <v>20</v>
      </c>
      <c r="F955" s="2">
        <v>57</v>
      </c>
      <c r="G955" s="2" t="s">
        <v>21</v>
      </c>
      <c r="H955" s="2">
        <v>1</v>
      </c>
      <c r="I955" s="2">
        <v>25</v>
      </c>
      <c r="J955" s="2">
        <v>25</v>
      </c>
    </row>
    <row r="956" spans="2:10" x14ac:dyDescent="0.25">
      <c r="B956" s="2">
        <v>953</v>
      </c>
      <c r="C956" s="6">
        <v>45042</v>
      </c>
      <c r="D956" s="2" t="s">
        <v>973</v>
      </c>
      <c r="E956" s="2" t="s">
        <v>17</v>
      </c>
      <c r="F956" s="2">
        <v>45</v>
      </c>
      <c r="G956" s="2" t="s">
        <v>18</v>
      </c>
      <c r="H956" s="2">
        <v>3</v>
      </c>
      <c r="I956" s="2">
        <v>30</v>
      </c>
      <c r="J956" s="2">
        <v>90</v>
      </c>
    </row>
    <row r="957" spans="2:10" x14ac:dyDescent="0.25">
      <c r="B957" s="2">
        <v>954</v>
      </c>
      <c r="C957" s="6">
        <v>45194</v>
      </c>
      <c r="D957" s="2" t="s">
        <v>974</v>
      </c>
      <c r="E957" s="2" t="s">
        <v>20</v>
      </c>
      <c r="F957" s="2">
        <v>50</v>
      </c>
      <c r="G957" s="2" t="s">
        <v>23</v>
      </c>
      <c r="H957" s="2">
        <v>3</v>
      </c>
      <c r="I957" s="2">
        <v>300</v>
      </c>
      <c r="J957" s="2">
        <v>900</v>
      </c>
    </row>
    <row r="958" spans="2:10" x14ac:dyDescent="0.25">
      <c r="B958" s="2">
        <v>955</v>
      </c>
      <c r="C958" s="6">
        <v>45121</v>
      </c>
      <c r="D958" s="2" t="s">
        <v>975</v>
      </c>
      <c r="E958" s="2" t="s">
        <v>17</v>
      </c>
      <c r="F958" s="2">
        <v>58</v>
      </c>
      <c r="G958" s="2" t="s">
        <v>21</v>
      </c>
      <c r="H958" s="2">
        <v>1</v>
      </c>
      <c r="I958" s="2">
        <v>25</v>
      </c>
      <c r="J958" s="2">
        <v>25</v>
      </c>
    </row>
    <row r="959" spans="2:10" x14ac:dyDescent="0.25">
      <c r="B959" s="2">
        <v>956</v>
      </c>
      <c r="C959" s="6">
        <v>45157</v>
      </c>
      <c r="D959" s="2" t="s">
        <v>976</v>
      </c>
      <c r="E959" s="2" t="s">
        <v>17</v>
      </c>
      <c r="F959" s="2">
        <v>30</v>
      </c>
      <c r="G959" s="2" t="s">
        <v>21</v>
      </c>
      <c r="H959" s="2">
        <v>3</v>
      </c>
      <c r="I959" s="2">
        <v>500</v>
      </c>
      <c r="J959" s="2">
        <v>1500</v>
      </c>
    </row>
    <row r="960" spans="2:10" x14ac:dyDescent="0.25">
      <c r="B960" s="2">
        <v>957</v>
      </c>
      <c r="C960" s="6">
        <v>45153</v>
      </c>
      <c r="D960" s="2" t="s">
        <v>977</v>
      </c>
      <c r="E960" s="2" t="s">
        <v>20</v>
      </c>
      <c r="F960" s="2">
        <v>60</v>
      </c>
      <c r="G960" s="2" t="s">
        <v>23</v>
      </c>
      <c r="H960" s="2">
        <v>4</v>
      </c>
      <c r="I960" s="2">
        <v>30</v>
      </c>
      <c r="J960" s="2">
        <v>120</v>
      </c>
    </row>
    <row r="961" spans="2:10" x14ac:dyDescent="0.25">
      <c r="B961" s="2">
        <v>958</v>
      </c>
      <c r="C961" s="6">
        <v>45079</v>
      </c>
      <c r="D961" s="2" t="s">
        <v>978</v>
      </c>
      <c r="E961" s="2" t="s">
        <v>17</v>
      </c>
      <c r="F961" s="2">
        <v>62</v>
      </c>
      <c r="G961" s="2" t="s">
        <v>23</v>
      </c>
      <c r="H961" s="2">
        <v>2</v>
      </c>
      <c r="I961" s="2">
        <v>25</v>
      </c>
      <c r="J961" s="2">
        <v>50</v>
      </c>
    </row>
    <row r="962" spans="2:10" x14ac:dyDescent="0.25">
      <c r="B962" s="2">
        <v>959</v>
      </c>
      <c r="C962" s="6">
        <v>45228</v>
      </c>
      <c r="D962" s="2" t="s">
        <v>979</v>
      </c>
      <c r="E962" s="2" t="s">
        <v>20</v>
      </c>
      <c r="F962" s="2">
        <v>42</v>
      </c>
      <c r="G962" s="2" t="s">
        <v>23</v>
      </c>
      <c r="H962" s="2">
        <v>2</v>
      </c>
      <c r="I962" s="2">
        <v>30</v>
      </c>
      <c r="J962" s="2">
        <v>60</v>
      </c>
    </row>
    <row r="963" spans="2:10" x14ac:dyDescent="0.25">
      <c r="B963" s="2">
        <v>960</v>
      </c>
      <c r="C963" s="6">
        <v>45146</v>
      </c>
      <c r="D963" s="2" t="s">
        <v>980</v>
      </c>
      <c r="E963" s="2" t="s">
        <v>17</v>
      </c>
      <c r="F963" s="2">
        <v>59</v>
      </c>
      <c r="G963" s="2" t="s">
        <v>21</v>
      </c>
      <c r="H963" s="2">
        <v>2</v>
      </c>
      <c r="I963" s="2">
        <v>30</v>
      </c>
      <c r="J963" s="2">
        <v>60</v>
      </c>
    </row>
    <row r="964" spans="2:10" x14ac:dyDescent="0.25">
      <c r="B964" s="2">
        <v>961</v>
      </c>
      <c r="C964" s="6">
        <v>45083</v>
      </c>
      <c r="D964" s="2" t="s">
        <v>981</v>
      </c>
      <c r="E964" s="2" t="s">
        <v>17</v>
      </c>
      <c r="F964" s="2">
        <v>53</v>
      </c>
      <c r="G964" s="2" t="s">
        <v>18</v>
      </c>
      <c r="H964" s="2">
        <v>4</v>
      </c>
      <c r="I964" s="2">
        <v>50</v>
      </c>
      <c r="J964" s="2">
        <v>200</v>
      </c>
    </row>
    <row r="965" spans="2:10" x14ac:dyDescent="0.25">
      <c r="B965" s="2">
        <v>962</v>
      </c>
      <c r="C965" s="6">
        <v>45218</v>
      </c>
      <c r="D965" s="2" t="s">
        <v>982</v>
      </c>
      <c r="E965" s="2" t="s">
        <v>17</v>
      </c>
      <c r="F965" s="2">
        <v>44</v>
      </c>
      <c r="G965" s="2" t="s">
        <v>21</v>
      </c>
      <c r="H965" s="2">
        <v>2</v>
      </c>
      <c r="I965" s="2">
        <v>30</v>
      </c>
      <c r="J965" s="2">
        <v>60</v>
      </c>
    </row>
    <row r="966" spans="2:10" x14ac:dyDescent="0.25">
      <c r="B966" s="2">
        <v>963</v>
      </c>
      <c r="C966" s="6">
        <v>45244</v>
      </c>
      <c r="D966" s="2" t="s">
        <v>983</v>
      </c>
      <c r="E966" s="2" t="s">
        <v>20</v>
      </c>
      <c r="F966" s="2">
        <v>55</v>
      </c>
      <c r="G966" s="2" t="s">
        <v>18</v>
      </c>
      <c r="H966" s="2">
        <v>1</v>
      </c>
      <c r="I966" s="2">
        <v>50</v>
      </c>
      <c r="J966" s="2">
        <v>50</v>
      </c>
    </row>
    <row r="967" spans="2:10" x14ac:dyDescent="0.25">
      <c r="B967" s="2">
        <v>964</v>
      </c>
      <c r="C967" s="6">
        <v>44957</v>
      </c>
      <c r="D967" s="2" t="s">
        <v>984</v>
      </c>
      <c r="E967" s="2" t="s">
        <v>17</v>
      </c>
      <c r="F967" s="2">
        <v>24</v>
      </c>
      <c r="G967" s="2" t="s">
        <v>21</v>
      </c>
      <c r="H967" s="2">
        <v>3</v>
      </c>
      <c r="I967" s="2">
        <v>300</v>
      </c>
      <c r="J967" s="2">
        <v>900</v>
      </c>
    </row>
    <row r="968" spans="2:10" x14ac:dyDescent="0.25">
      <c r="B968" s="2">
        <v>965</v>
      </c>
      <c r="C968" s="6">
        <v>45239</v>
      </c>
      <c r="D968" s="2" t="s">
        <v>985</v>
      </c>
      <c r="E968" s="2" t="s">
        <v>17</v>
      </c>
      <c r="F968" s="2">
        <v>22</v>
      </c>
      <c r="G968" s="2" t="s">
        <v>21</v>
      </c>
      <c r="H968" s="2">
        <v>4</v>
      </c>
      <c r="I968" s="2">
        <v>50</v>
      </c>
      <c r="J968" s="2">
        <v>200</v>
      </c>
    </row>
    <row r="969" spans="2:10" x14ac:dyDescent="0.25">
      <c r="B969" s="2">
        <v>966</v>
      </c>
      <c r="C969" s="6">
        <v>44977</v>
      </c>
      <c r="D969" s="2" t="s">
        <v>986</v>
      </c>
      <c r="E969" s="2" t="s">
        <v>17</v>
      </c>
      <c r="F969" s="2">
        <v>60</v>
      </c>
      <c r="G969" s="2" t="s">
        <v>23</v>
      </c>
      <c r="H969" s="2">
        <v>2</v>
      </c>
      <c r="I969" s="2">
        <v>500</v>
      </c>
      <c r="J969" s="2">
        <v>1000</v>
      </c>
    </row>
    <row r="970" spans="2:10" x14ac:dyDescent="0.25">
      <c r="B970" s="2">
        <v>967</v>
      </c>
      <c r="C970" s="6">
        <v>45033</v>
      </c>
      <c r="D970" s="2" t="s">
        <v>987</v>
      </c>
      <c r="E970" s="2" t="s">
        <v>17</v>
      </c>
      <c r="F970" s="2">
        <v>62</v>
      </c>
      <c r="G970" s="2" t="s">
        <v>18</v>
      </c>
      <c r="H970" s="2">
        <v>1</v>
      </c>
      <c r="I970" s="2">
        <v>25</v>
      </c>
      <c r="J970" s="2">
        <v>25</v>
      </c>
    </row>
    <row r="971" spans="2:10" x14ac:dyDescent="0.25">
      <c r="B971" s="2">
        <v>968</v>
      </c>
      <c r="C971" s="6">
        <v>45247</v>
      </c>
      <c r="D971" s="2" t="s">
        <v>988</v>
      </c>
      <c r="E971" s="2" t="s">
        <v>20</v>
      </c>
      <c r="F971" s="2">
        <v>48</v>
      </c>
      <c r="G971" s="2" t="s">
        <v>21</v>
      </c>
      <c r="H971" s="2">
        <v>3</v>
      </c>
      <c r="I971" s="2">
        <v>300</v>
      </c>
      <c r="J971" s="2">
        <v>900</v>
      </c>
    </row>
    <row r="972" spans="2:10" x14ac:dyDescent="0.25">
      <c r="B972" s="2">
        <v>969</v>
      </c>
      <c r="C972" s="6">
        <v>45035</v>
      </c>
      <c r="D972" s="2" t="s">
        <v>989</v>
      </c>
      <c r="E972" s="2" t="s">
        <v>20</v>
      </c>
      <c r="F972" s="2">
        <v>40</v>
      </c>
      <c r="G972" s="2" t="s">
        <v>21</v>
      </c>
      <c r="H972" s="2">
        <v>3</v>
      </c>
      <c r="I972" s="2">
        <v>300</v>
      </c>
      <c r="J972" s="2">
        <v>900</v>
      </c>
    </row>
    <row r="973" spans="2:10" x14ac:dyDescent="0.25">
      <c r="B973" s="2">
        <v>970</v>
      </c>
      <c r="C973" s="6">
        <v>45062</v>
      </c>
      <c r="D973" s="2" t="s">
        <v>990</v>
      </c>
      <c r="E973" s="2" t="s">
        <v>17</v>
      </c>
      <c r="F973" s="2">
        <v>59</v>
      </c>
      <c r="G973" s="2" t="s">
        <v>23</v>
      </c>
      <c r="H973" s="2">
        <v>4</v>
      </c>
      <c r="I973" s="2">
        <v>500</v>
      </c>
      <c r="J973" s="2">
        <v>2000</v>
      </c>
    </row>
    <row r="974" spans="2:10" x14ac:dyDescent="0.25">
      <c r="B974" s="2">
        <v>971</v>
      </c>
      <c r="C974" s="6">
        <v>45265</v>
      </c>
      <c r="D974" s="2" t="s">
        <v>991</v>
      </c>
      <c r="E974" s="2" t="s">
        <v>20</v>
      </c>
      <c r="F974" s="2">
        <v>27</v>
      </c>
      <c r="G974" s="2" t="s">
        <v>23</v>
      </c>
      <c r="H974" s="2">
        <v>4</v>
      </c>
      <c r="I974" s="2">
        <v>50</v>
      </c>
      <c r="J974" s="2">
        <v>200</v>
      </c>
    </row>
    <row r="975" spans="2:10" x14ac:dyDescent="0.25">
      <c r="B975" s="2">
        <v>972</v>
      </c>
      <c r="C975" s="6">
        <v>44968</v>
      </c>
      <c r="D975" s="2" t="s">
        <v>992</v>
      </c>
      <c r="E975" s="2" t="s">
        <v>17</v>
      </c>
      <c r="F975" s="2">
        <v>49</v>
      </c>
      <c r="G975" s="2" t="s">
        <v>18</v>
      </c>
      <c r="H975" s="2">
        <v>4</v>
      </c>
      <c r="I975" s="2">
        <v>25</v>
      </c>
      <c r="J975" s="2">
        <v>100</v>
      </c>
    </row>
    <row r="976" spans="2:10" x14ac:dyDescent="0.25">
      <c r="B976" s="2">
        <v>973</v>
      </c>
      <c r="C976" s="6">
        <v>45007</v>
      </c>
      <c r="D976" s="2" t="s">
        <v>993</v>
      </c>
      <c r="E976" s="2" t="s">
        <v>17</v>
      </c>
      <c r="F976" s="2">
        <v>60</v>
      </c>
      <c r="G976" s="2" t="s">
        <v>21</v>
      </c>
      <c r="H976" s="2">
        <v>1</v>
      </c>
      <c r="I976" s="2">
        <v>50</v>
      </c>
      <c r="J976" s="2">
        <v>50</v>
      </c>
    </row>
    <row r="977" spans="2:10" x14ac:dyDescent="0.25">
      <c r="B977" s="2">
        <v>974</v>
      </c>
      <c r="C977" s="6">
        <v>45049</v>
      </c>
      <c r="D977" s="2" t="s">
        <v>994</v>
      </c>
      <c r="E977" s="2" t="s">
        <v>17</v>
      </c>
      <c r="F977" s="2">
        <v>47</v>
      </c>
      <c r="G977" s="2" t="s">
        <v>18</v>
      </c>
      <c r="H977" s="2">
        <v>1</v>
      </c>
      <c r="I977" s="2">
        <v>30</v>
      </c>
      <c r="J977" s="2">
        <v>30</v>
      </c>
    </row>
    <row r="978" spans="2:10" x14ac:dyDescent="0.25">
      <c r="B978" s="2">
        <v>975</v>
      </c>
      <c r="C978" s="6">
        <v>45015</v>
      </c>
      <c r="D978" s="2" t="s">
        <v>995</v>
      </c>
      <c r="E978" s="2" t="s">
        <v>20</v>
      </c>
      <c r="F978" s="2">
        <v>56</v>
      </c>
      <c r="G978" s="2" t="s">
        <v>21</v>
      </c>
      <c r="H978" s="2">
        <v>4</v>
      </c>
      <c r="I978" s="2">
        <v>50</v>
      </c>
      <c r="J978" s="2">
        <v>200</v>
      </c>
    </row>
    <row r="979" spans="2:10" x14ac:dyDescent="0.25">
      <c r="B979" s="2">
        <v>976</v>
      </c>
      <c r="C979" s="6">
        <v>45209</v>
      </c>
      <c r="D979" s="2" t="s">
        <v>996</v>
      </c>
      <c r="E979" s="2" t="s">
        <v>20</v>
      </c>
      <c r="F979" s="2">
        <v>48</v>
      </c>
      <c r="G979" s="2" t="s">
        <v>18</v>
      </c>
      <c r="H979" s="2">
        <v>2</v>
      </c>
      <c r="I979" s="2">
        <v>300</v>
      </c>
      <c r="J979" s="2">
        <v>600</v>
      </c>
    </row>
    <row r="980" spans="2:10" x14ac:dyDescent="0.25">
      <c r="B980" s="2">
        <v>977</v>
      </c>
      <c r="C980" s="6">
        <v>44965</v>
      </c>
      <c r="D980" s="2" t="s">
        <v>997</v>
      </c>
      <c r="E980" s="2" t="s">
        <v>20</v>
      </c>
      <c r="F980" s="2">
        <v>35</v>
      </c>
      <c r="G980" s="2" t="s">
        <v>23</v>
      </c>
      <c r="H980" s="2">
        <v>3</v>
      </c>
      <c r="I980" s="2">
        <v>25</v>
      </c>
      <c r="J980" s="2">
        <v>75</v>
      </c>
    </row>
    <row r="981" spans="2:10" x14ac:dyDescent="0.25">
      <c r="B981" s="2">
        <v>978</v>
      </c>
      <c r="C981" s="6">
        <v>45007</v>
      </c>
      <c r="D981" s="2" t="s">
        <v>998</v>
      </c>
      <c r="E981" s="2" t="s">
        <v>20</v>
      </c>
      <c r="F981" s="2">
        <v>53</v>
      </c>
      <c r="G981" s="2" t="s">
        <v>21</v>
      </c>
      <c r="H981" s="2">
        <v>3</v>
      </c>
      <c r="I981" s="2">
        <v>50</v>
      </c>
      <c r="J981" s="2">
        <v>150</v>
      </c>
    </row>
    <row r="982" spans="2:10" x14ac:dyDescent="0.25">
      <c r="B982" s="2">
        <v>979</v>
      </c>
      <c r="C982" s="6">
        <v>44928</v>
      </c>
      <c r="D982" s="2" t="s">
        <v>999</v>
      </c>
      <c r="E982" s="2" t="s">
        <v>20</v>
      </c>
      <c r="F982" s="2">
        <v>19</v>
      </c>
      <c r="G982" s="2" t="s">
        <v>18</v>
      </c>
      <c r="H982" s="2">
        <v>1</v>
      </c>
      <c r="I982" s="2">
        <v>25</v>
      </c>
      <c r="J982" s="2">
        <v>25</v>
      </c>
    </row>
    <row r="983" spans="2:10" x14ac:dyDescent="0.25">
      <c r="B983" s="2">
        <v>980</v>
      </c>
      <c r="C983" s="6">
        <v>45136</v>
      </c>
      <c r="D983" s="2" t="s">
        <v>1000</v>
      </c>
      <c r="E983" s="2" t="s">
        <v>20</v>
      </c>
      <c r="F983" s="2">
        <v>31</v>
      </c>
      <c r="G983" s="2" t="s">
        <v>23</v>
      </c>
      <c r="H983" s="2">
        <v>3</v>
      </c>
      <c r="I983" s="2">
        <v>25</v>
      </c>
      <c r="J983" s="2">
        <v>75</v>
      </c>
    </row>
    <row r="984" spans="2:10" x14ac:dyDescent="0.25">
      <c r="B984" s="2">
        <v>981</v>
      </c>
      <c r="C984" s="6">
        <v>45157</v>
      </c>
      <c r="D984" s="2" t="s">
        <v>1001</v>
      </c>
      <c r="E984" s="2" t="s">
        <v>20</v>
      </c>
      <c r="F984" s="2">
        <v>30</v>
      </c>
      <c r="G984" s="2" t="s">
        <v>23</v>
      </c>
      <c r="H984" s="2">
        <v>2</v>
      </c>
      <c r="I984" s="2">
        <v>30</v>
      </c>
      <c r="J984" s="2">
        <v>60</v>
      </c>
    </row>
    <row r="985" spans="2:10" x14ac:dyDescent="0.25">
      <c r="B985" s="2">
        <v>982</v>
      </c>
      <c r="C985" s="6">
        <v>45279</v>
      </c>
      <c r="D985" s="2" t="s">
        <v>1002</v>
      </c>
      <c r="E985" s="2" t="s">
        <v>20</v>
      </c>
      <c r="F985" s="2">
        <v>46</v>
      </c>
      <c r="G985" s="2" t="s">
        <v>18</v>
      </c>
      <c r="H985" s="2">
        <v>3</v>
      </c>
      <c r="I985" s="2">
        <v>30</v>
      </c>
      <c r="J985" s="2">
        <v>90</v>
      </c>
    </row>
    <row r="986" spans="2:10" x14ac:dyDescent="0.25">
      <c r="B986" s="2">
        <v>983</v>
      </c>
      <c r="C986" s="6">
        <v>45231</v>
      </c>
      <c r="D986" s="2" t="s">
        <v>1003</v>
      </c>
      <c r="E986" s="2" t="s">
        <v>20</v>
      </c>
      <c r="F986" s="2">
        <v>29</v>
      </c>
      <c r="G986" s="2" t="s">
        <v>21</v>
      </c>
      <c r="H986" s="2">
        <v>1</v>
      </c>
      <c r="I986" s="2">
        <v>300</v>
      </c>
      <c r="J986" s="2">
        <v>300</v>
      </c>
    </row>
    <row r="987" spans="2:10" x14ac:dyDescent="0.25">
      <c r="B987" s="2">
        <v>984</v>
      </c>
      <c r="C987" s="6">
        <v>45167</v>
      </c>
      <c r="D987" s="2" t="s">
        <v>1004</v>
      </c>
      <c r="E987" s="2" t="s">
        <v>17</v>
      </c>
      <c r="F987" s="2">
        <v>56</v>
      </c>
      <c r="G987" s="2" t="s">
        <v>21</v>
      </c>
      <c r="H987" s="2">
        <v>1</v>
      </c>
      <c r="I987" s="2">
        <v>500</v>
      </c>
      <c r="J987" s="2">
        <v>500</v>
      </c>
    </row>
    <row r="988" spans="2:10" x14ac:dyDescent="0.25">
      <c r="B988" s="2">
        <v>985</v>
      </c>
      <c r="C988" s="6">
        <v>45076</v>
      </c>
      <c r="D988" s="2" t="s">
        <v>1005</v>
      </c>
      <c r="E988" s="2" t="s">
        <v>20</v>
      </c>
      <c r="F988" s="2">
        <v>19</v>
      </c>
      <c r="G988" s="2" t="s">
        <v>23</v>
      </c>
      <c r="H988" s="2">
        <v>2</v>
      </c>
      <c r="I988" s="2">
        <v>25</v>
      </c>
      <c r="J988" s="2">
        <v>50</v>
      </c>
    </row>
    <row r="989" spans="2:10" x14ac:dyDescent="0.25">
      <c r="B989" s="2">
        <v>986</v>
      </c>
      <c r="C989" s="6">
        <v>44943</v>
      </c>
      <c r="D989" s="2" t="s">
        <v>1006</v>
      </c>
      <c r="E989" s="2" t="s">
        <v>20</v>
      </c>
      <c r="F989" s="2">
        <v>49</v>
      </c>
      <c r="G989" s="2" t="s">
        <v>21</v>
      </c>
      <c r="H989" s="2">
        <v>2</v>
      </c>
      <c r="I989" s="2">
        <v>500</v>
      </c>
      <c r="J989" s="2">
        <v>1000</v>
      </c>
    </row>
    <row r="990" spans="2:10" x14ac:dyDescent="0.25">
      <c r="B990" s="2">
        <v>987</v>
      </c>
      <c r="C990" s="6">
        <v>45045</v>
      </c>
      <c r="D990" s="2" t="s">
        <v>1007</v>
      </c>
      <c r="E990" s="2" t="s">
        <v>20</v>
      </c>
      <c r="F990" s="2">
        <v>30</v>
      </c>
      <c r="G990" s="2" t="s">
        <v>21</v>
      </c>
      <c r="H990" s="2">
        <v>3</v>
      </c>
      <c r="I990" s="2">
        <v>300</v>
      </c>
      <c r="J990" s="2">
        <v>900</v>
      </c>
    </row>
    <row r="991" spans="2:10" x14ac:dyDescent="0.25">
      <c r="B991" s="2">
        <v>988</v>
      </c>
      <c r="C991" s="6">
        <v>45074</v>
      </c>
      <c r="D991" s="2" t="s">
        <v>1008</v>
      </c>
      <c r="E991" s="2" t="s">
        <v>20</v>
      </c>
      <c r="F991" s="2">
        <v>63</v>
      </c>
      <c r="G991" s="2" t="s">
        <v>21</v>
      </c>
      <c r="H991" s="2">
        <v>3</v>
      </c>
      <c r="I991" s="2">
        <v>25</v>
      </c>
      <c r="J991" s="2">
        <v>75</v>
      </c>
    </row>
    <row r="992" spans="2:10" x14ac:dyDescent="0.25">
      <c r="B992" s="2">
        <v>989</v>
      </c>
      <c r="C992" s="6">
        <v>45288</v>
      </c>
      <c r="D992" s="2" t="s">
        <v>1009</v>
      </c>
      <c r="E992" s="2" t="s">
        <v>20</v>
      </c>
      <c r="F992" s="2">
        <v>44</v>
      </c>
      <c r="G992" s="2" t="s">
        <v>23</v>
      </c>
      <c r="H992" s="2">
        <v>1</v>
      </c>
      <c r="I992" s="2">
        <v>25</v>
      </c>
      <c r="J992" s="2">
        <v>25</v>
      </c>
    </row>
    <row r="993" spans="2:10" x14ac:dyDescent="0.25">
      <c r="B993" s="2">
        <v>990</v>
      </c>
      <c r="C993" s="6">
        <v>45071</v>
      </c>
      <c r="D993" s="2" t="s">
        <v>1010</v>
      </c>
      <c r="E993" s="2" t="s">
        <v>20</v>
      </c>
      <c r="F993" s="2">
        <v>58</v>
      </c>
      <c r="G993" s="2" t="s">
        <v>18</v>
      </c>
      <c r="H993" s="2">
        <v>2</v>
      </c>
      <c r="I993" s="2">
        <v>500</v>
      </c>
      <c r="J993" s="2">
        <v>1000</v>
      </c>
    </row>
    <row r="994" spans="2:10" x14ac:dyDescent="0.25">
      <c r="B994" s="2">
        <v>991</v>
      </c>
      <c r="C994" s="6">
        <v>45286</v>
      </c>
      <c r="D994" s="2" t="s">
        <v>1011</v>
      </c>
      <c r="E994" s="2" t="s">
        <v>20</v>
      </c>
      <c r="F994" s="2">
        <v>34</v>
      </c>
      <c r="G994" s="2" t="s">
        <v>21</v>
      </c>
      <c r="H994" s="2">
        <v>2</v>
      </c>
      <c r="I994" s="2">
        <v>50</v>
      </c>
      <c r="J994" s="2">
        <v>100</v>
      </c>
    </row>
    <row r="995" spans="2:10" x14ac:dyDescent="0.25">
      <c r="B995" s="2">
        <v>992</v>
      </c>
      <c r="C995" s="6">
        <v>45159</v>
      </c>
      <c r="D995" s="2" t="s">
        <v>1012</v>
      </c>
      <c r="E995" s="2" t="s">
        <v>20</v>
      </c>
      <c r="F995" s="2">
        <v>57</v>
      </c>
      <c r="G995" s="2" t="s">
        <v>23</v>
      </c>
      <c r="H995" s="2">
        <v>2</v>
      </c>
      <c r="I995" s="2">
        <v>30</v>
      </c>
      <c r="J995" s="2">
        <v>60</v>
      </c>
    </row>
    <row r="996" spans="2:10" x14ac:dyDescent="0.25">
      <c r="B996" s="2">
        <v>993</v>
      </c>
      <c r="C996" s="6">
        <v>44963</v>
      </c>
      <c r="D996" s="2" t="s">
        <v>1013</v>
      </c>
      <c r="E996" s="2" t="s">
        <v>20</v>
      </c>
      <c r="F996" s="2">
        <v>48</v>
      </c>
      <c r="G996" s="2" t="s">
        <v>23</v>
      </c>
      <c r="H996" s="2">
        <v>3</v>
      </c>
      <c r="I996" s="2">
        <v>50</v>
      </c>
      <c r="J996" s="2">
        <v>150</v>
      </c>
    </row>
    <row r="997" spans="2:10" x14ac:dyDescent="0.25">
      <c r="B997" s="2">
        <v>994</v>
      </c>
      <c r="C997" s="6">
        <v>45278</v>
      </c>
      <c r="D997" s="2" t="s">
        <v>1014</v>
      </c>
      <c r="E997" s="2" t="s">
        <v>20</v>
      </c>
      <c r="F997" s="2">
        <v>51</v>
      </c>
      <c r="G997" s="2" t="s">
        <v>18</v>
      </c>
      <c r="H997" s="2">
        <v>2</v>
      </c>
      <c r="I997" s="2">
        <v>500</v>
      </c>
      <c r="J997" s="2">
        <v>1000</v>
      </c>
    </row>
    <row r="998" spans="2:10" x14ac:dyDescent="0.25">
      <c r="B998" s="2">
        <v>995</v>
      </c>
      <c r="C998" s="6">
        <v>45046</v>
      </c>
      <c r="D998" s="2" t="s">
        <v>1015</v>
      </c>
      <c r="E998" s="2" t="s">
        <v>20</v>
      </c>
      <c r="F998" s="2">
        <v>41</v>
      </c>
      <c r="G998" s="2" t="s">
        <v>21</v>
      </c>
      <c r="H998" s="2">
        <v>1</v>
      </c>
      <c r="I998" s="2">
        <v>30</v>
      </c>
      <c r="J998" s="2">
        <v>30</v>
      </c>
    </row>
    <row r="999" spans="2:10" x14ac:dyDescent="0.25">
      <c r="B999" s="2">
        <v>996</v>
      </c>
      <c r="C999" s="6">
        <v>45062</v>
      </c>
      <c r="D999" s="2" t="s">
        <v>1016</v>
      </c>
      <c r="E999" s="2" t="s">
        <v>17</v>
      </c>
      <c r="F999" s="2">
        <v>62</v>
      </c>
      <c r="G999" s="2" t="s">
        <v>21</v>
      </c>
      <c r="H999" s="2">
        <v>1</v>
      </c>
      <c r="I999" s="2">
        <v>50</v>
      </c>
      <c r="J999" s="2">
        <v>50</v>
      </c>
    </row>
    <row r="1000" spans="2:10" x14ac:dyDescent="0.25">
      <c r="B1000" s="2">
        <v>997</v>
      </c>
      <c r="C1000" s="6">
        <v>45247</v>
      </c>
      <c r="D1000" s="2" t="s">
        <v>1017</v>
      </c>
      <c r="E1000" s="2" t="s">
        <v>17</v>
      </c>
      <c r="F1000" s="2">
        <v>52</v>
      </c>
      <c r="G1000" s="2" t="s">
        <v>18</v>
      </c>
      <c r="H1000" s="2">
        <v>3</v>
      </c>
      <c r="I1000" s="2">
        <v>30</v>
      </c>
      <c r="J1000" s="2">
        <v>90</v>
      </c>
    </row>
    <row r="1001" spans="2:10" x14ac:dyDescent="0.25">
      <c r="B1001" s="2">
        <v>998</v>
      </c>
      <c r="C1001" s="6">
        <v>45228</v>
      </c>
      <c r="D1001" s="2" t="s">
        <v>1018</v>
      </c>
      <c r="E1001" s="2" t="s">
        <v>20</v>
      </c>
      <c r="F1001" s="2">
        <v>23</v>
      </c>
      <c r="G1001" s="2" t="s">
        <v>18</v>
      </c>
      <c r="H1001" s="2">
        <v>4</v>
      </c>
      <c r="I1001" s="2">
        <v>25</v>
      </c>
      <c r="J1001" s="2">
        <v>100</v>
      </c>
    </row>
    <row r="1002" spans="2:10" x14ac:dyDescent="0.25">
      <c r="B1002" s="2">
        <v>999</v>
      </c>
      <c r="C1002" s="6">
        <v>45265</v>
      </c>
      <c r="D1002" s="2" t="s">
        <v>1019</v>
      </c>
      <c r="E1002" s="2" t="s">
        <v>20</v>
      </c>
      <c r="F1002" s="2">
        <v>36</v>
      </c>
      <c r="G1002" s="2" t="s">
        <v>23</v>
      </c>
      <c r="H1002" s="2">
        <v>3</v>
      </c>
      <c r="I1002" s="2">
        <v>50</v>
      </c>
      <c r="J1002" s="2">
        <v>150</v>
      </c>
    </row>
    <row r="1003" spans="2:10" x14ac:dyDescent="0.25">
      <c r="B1003" s="2">
        <v>1000</v>
      </c>
      <c r="C1003" s="6">
        <v>45028</v>
      </c>
      <c r="D1003" s="2" t="s">
        <v>1020</v>
      </c>
      <c r="E1003" s="2" t="s">
        <v>17</v>
      </c>
      <c r="F1003" s="2">
        <v>47</v>
      </c>
      <c r="G1003" s="2" t="s">
        <v>23</v>
      </c>
      <c r="H1003" s="2">
        <v>4</v>
      </c>
      <c r="I1003" s="2">
        <v>30</v>
      </c>
      <c r="J1003" s="2">
        <v>120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1BFF3-71C8-4ED0-90A5-B8193862B6DA}">
  <dimension ref="C1:J25"/>
  <sheetViews>
    <sheetView workbookViewId="0">
      <selection activeCell="F1" sqref="F1"/>
    </sheetView>
  </sheetViews>
  <sheetFormatPr defaultRowHeight="15" x14ac:dyDescent="0.25"/>
  <sheetData>
    <row r="1" spans="3:10" ht="16.5" x14ac:dyDescent="0.3">
      <c r="F1" s="7"/>
      <c r="J1" s="7" t="s">
        <v>1025</v>
      </c>
    </row>
    <row r="3" spans="3:10" x14ac:dyDescent="0.25">
      <c r="C3">
        <v>1</v>
      </c>
    </row>
    <row r="7" spans="3:10" x14ac:dyDescent="0.25">
      <c r="C7">
        <v>6</v>
      </c>
    </row>
    <row r="25" spans="3:3" x14ac:dyDescent="0.25">
      <c r="C25">
        <v>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C398D-7F41-4FBA-80BF-0DD3359CC83F}">
  <dimension ref="B1:N1004"/>
  <sheetViews>
    <sheetView workbookViewId="0">
      <selection activeCell="M7" sqref="M7:N8"/>
    </sheetView>
  </sheetViews>
  <sheetFormatPr defaultRowHeight="15" x14ac:dyDescent="0.25"/>
  <cols>
    <col min="2" max="2" width="16" bestFit="1" customWidth="1"/>
    <col min="3" max="3" width="12.7109375" bestFit="1" customWidth="1"/>
    <col min="4" max="4" width="10.28515625" customWidth="1"/>
    <col min="5" max="5" width="12.42578125" customWidth="1"/>
    <col min="7" max="7" width="27.42578125" bestFit="1" customWidth="1"/>
    <col min="8" max="8" width="16.85546875" customWidth="1"/>
    <col min="10" max="11" width="15.7109375" bestFit="1" customWidth="1"/>
  </cols>
  <sheetData>
    <row r="1" spans="2:14" ht="16.5" x14ac:dyDescent="0.3">
      <c r="G1" s="7" t="s">
        <v>1026</v>
      </c>
    </row>
    <row r="4" spans="2:14" x14ac:dyDescent="0.25">
      <c r="B4" s="2" t="s">
        <v>12</v>
      </c>
      <c r="C4" s="2" t="s">
        <v>15</v>
      </c>
      <c r="D4" s="2" t="s">
        <v>13</v>
      </c>
      <c r="E4" s="2" t="s">
        <v>10</v>
      </c>
    </row>
    <row r="5" spans="2:14" x14ac:dyDescent="0.25">
      <c r="B5" s="2" t="s">
        <v>18</v>
      </c>
      <c r="C5" s="2">
        <v>150</v>
      </c>
      <c r="D5" s="2">
        <v>3</v>
      </c>
      <c r="E5" s="2" t="s">
        <v>17</v>
      </c>
      <c r="G5" s="4" t="s">
        <v>1029</v>
      </c>
      <c r="J5" s="4" t="s">
        <v>1030</v>
      </c>
      <c r="M5" s="4" t="s">
        <v>1031</v>
      </c>
    </row>
    <row r="6" spans="2:14" x14ac:dyDescent="0.25">
      <c r="B6" s="2" t="s">
        <v>21</v>
      </c>
      <c r="C6" s="2">
        <v>1000</v>
      </c>
      <c r="D6" s="2">
        <v>2</v>
      </c>
      <c r="E6" s="2" t="s">
        <v>20</v>
      </c>
    </row>
    <row r="7" spans="2:14" x14ac:dyDescent="0.25">
      <c r="B7" s="2" t="s">
        <v>23</v>
      </c>
      <c r="C7" s="2">
        <v>30</v>
      </c>
      <c r="D7" s="2">
        <v>1</v>
      </c>
      <c r="E7" s="2" t="s">
        <v>17</v>
      </c>
      <c r="G7" t="s">
        <v>18</v>
      </c>
      <c r="H7">
        <f>SUMIF(B4:B1004,"Beauty",C4:C1004)</f>
        <v>143515</v>
      </c>
      <c r="J7" t="s">
        <v>18</v>
      </c>
      <c r="K7">
        <f>SUMIF(B4:B1004,"Beauty",D4:D1004)</f>
        <v>771</v>
      </c>
      <c r="M7" t="s">
        <v>17</v>
      </c>
      <c r="N7">
        <f>SUMIF(E4:E1004,"Male",C4:C1004)</f>
        <v>223160</v>
      </c>
    </row>
    <row r="8" spans="2:14" x14ac:dyDescent="0.25">
      <c r="B8" s="2" t="s">
        <v>21</v>
      </c>
      <c r="C8" s="2">
        <v>500</v>
      </c>
      <c r="D8" s="2">
        <v>1</v>
      </c>
      <c r="E8" s="2" t="s">
        <v>17</v>
      </c>
      <c r="G8" t="s">
        <v>21</v>
      </c>
      <c r="H8">
        <f>SUMIF(B4:B1004,"Clothing",C4:C1004)</f>
        <v>155580</v>
      </c>
      <c r="J8" t="s">
        <v>21</v>
      </c>
      <c r="K8">
        <f>SUMIF(B4:B1004,"Clothing",D4:D1004)</f>
        <v>894</v>
      </c>
      <c r="M8" t="s">
        <v>20</v>
      </c>
      <c r="N8">
        <f>SUMIF(E4:E1004,"Female",C4:C1004)</f>
        <v>232840</v>
      </c>
    </row>
    <row r="9" spans="2:14" x14ac:dyDescent="0.25">
      <c r="B9" s="2" t="s">
        <v>18</v>
      </c>
      <c r="C9" s="2">
        <v>100</v>
      </c>
      <c r="D9" s="2">
        <v>2</v>
      </c>
      <c r="E9" s="2" t="s">
        <v>17</v>
      </c>
      <c r="G9" t="s">
        <v>23</v>
      </c>
      <c r="H9">
        <f>SUMIF(B4:B1004,"Electronics",C4:C1004)</f>
        <v>156905</v>
      </c>
      <c r="J9" t="s">
        <v>23</v>
      </c>
      <c r="K9">
        <f>SUMIF(B4:B1004,"Electronics",D4:D1004)</f>
        <v>849</v>
      </c>
    </row>
    <row r="10" spans="2:14" x14ac:dyDescent="0.25">
      <c r="B10" s="2" t="s">
        <v>18</v>
      </c>
      <c r="C10" s="2">
        <v>30</v>
      </c>
      <c r="D10" s="2">
        <v>1</v>
      </c>
      <c r="E10" s="2" t="s">
        <v>20</v>
      </c>
    </row>
    <row r="11" spans="2:14" x14ac:dyDescent="0.25">
      <c r="B11" s="2" t="s">
        <v>21</v>
      </c>
      <c r="C11" s="2">
        <v>50</v>
      </c>
      <c r="D11" s="2">
        <v>2</v>
      </c>
      <c r="E11" s="2" t="s">
        <v>17</v>
      </c>
    </row>
    <row r="12" spans="2:14" x14ac:dyDescent="0.25">
      <c r="B12" s="2" t="s">
        <v>23</v>
      </c>
      <c r="C12" s="2">
        <v>100</v>
      </c>
      <c r="D12" s="2">
        <v>4</v>
      </c>
      <c r="E12" s="2" t="s">
        <v>17</v>
      </c>
    </row>
    <row r="13" spans="2:14" x14ac:dyDescent="0.25">
      <c r="B13" s="2" t="s">
        <v>23</v>
      </c>
      <c r="C13" s="2">
        <v>600</v>
      </c>
      <c r="D13" s="2">
        <v>2</v>
      </c>
      <c r="E13" s="2" t="s">
        <v>17</v>
      </c>
    </row>
    <row r="14" spans="2:14" x14ac:dyDescent="0.25">
      <c r="B14" s="2" t="s">
        <v>21</v>
      </c>
      <c r="C14" s="2">
        <v>200</v>
      </c>
      <c r="D14" s="2">
        <v>4</v>
      </c>
      <c r="E14" s="2" t="s">
        <v>20</v>
      </c>
    </row>
    <row r="15" spans="2:14" x14ac:dyDescent="0.25">
      <c r="B15" s="2" t="s">
        <v>21</v>
      </c>
      <c r="C15" s="2">
        <v>100</v>
      </c>
      <c r="D15" s="2">
        <v>2</v>
      </c>
      <c r="E15" s="2" t="s">
        <v>17</v>
      </c>
    </row>
    <row r="16" spans="2:14" x14ac:dyDescent="0.25">
      <c r="B16" s="2" t="s">
        <v>18</v>
      </c>
      <c r="C16" s="2">
        <v>75</v>
      </c>
      <c r="D16" s="2">
        <v>3</v>
      </c>
      <c r="E16" s="2" t="s">
        <v>17</v>
      </c>
    </row>
    <row r="17" spans="2:5" x14ac:dyDescent="0.25">
      <c r="B17" s="2" t="s">
        <v>23</v>
      </c>
      <c r="C17" s="2">
        <v>1500</v>
      </c>
      <c r="D17" s="2">
        <v>3</v>
      </c>
      <c r="E17" s="2" t="s">
        <v>17</v>
      </c>
    </row>
    <row r="18" spans="2:5" x14ac:dyDescent="0.25">
      <c r="B18" s="2" t="s">
        <v>21</v>
      </c>
      <c r="C18" s="2">
        <v>120</v>
      </c>
      <c r="D18" s="2">
        <v>4</v>
      </c>
      <c r="E18" s="2" t="s">
        <v>17</v>
      </c>
    </row>
    <row r="19" spans="2:5" x14ac:dyDescent="0.25">
      <c r="B19" s="2" t="s">
        <v>23</v>
      </c>
      <c r="C19" s="2">
        <v>2000</v>
      </c>
      <c r="D19" s="2">
        <v>4</v>
      </c>
      <c r="E19" s="2" t="s">
        <v>20</v>
      </c>
    </row>
    <row r="20" spans="2:5" x14ac:dyDescent="0.25">
      <c r="B20" s="2" t="s">
        <v>21</v>
      </c>
      <c r="C20" s="2">
        <v>1500</v>
      </c>
      <c r="D20" s="2">
        <v>3</v>
      </c>
      <c r="E20" s="2" t="s">
        <v>17</v>
      </c>
    </row>
    <row r="21" spans="2:5" x14ac:dyDescent="0.25">
      <c r="B21" s="2" t="s">
        <v>21</v>
      </c>
      <c r="C21" s="2">
        <v>100</v>
      </c>
      <c r="D21" s="2">
        <v>4</v>
      </c>
      <c r="E21" s="2" t="s">
        <v>20</v>
      </c>
    </row>
    <row r="22" spans="2:5" x14ac:dyDescent="0.25">
      <c r="B22" s="2" t="s">
        <v>23</v>
      </c>
      <c r="C22" s="2">
        <v>50</v>
      </c>
      <c r="D22" s="2">
        <v>2</v>
      </c>
      <c r="E22" s="2" t="s">
        <v>20</v>
      </c>
    </row>
    <row r="23" spans="2:5" x14ac:dyDescent="0.25">
      <c r="B23" s="2" t="s">
        <v>21</v>
      </c>
      <c r="C23" s="2">
        <v>50</v>
      </c>
      <c r="D23" s="2">
        <v>2</v>
      </c>
      <c r="E23" s="2" t="s">
        <v>20</v>
      </c>
    </row>
    <row r="24" spans="2:5" x14ac:dyDescent="0.25">
      <c r="B24" s="2" t="s">
        <v>21</v>
      </c>
      <c r="C24" s="2">
        <v>900</v>
      </c>
      <c r="D24" s="2">
        <v>3</v>
      </c>
      <c r="E24" s="2" t="s">
        <v>17</v>
      </c>
    </row>
    <row r="25" spans="2:5" x14ac:dyDescent="0.25">
      <c r="B25" s="2" t="s">
        <v>18</v>
      </c>
      <c r="C25" s="2">
        <v>500</v>
      </c>
      <c r="D25" s="2">
        <v>1</v>
      </c>
      <c r="E25" s="2" t="s">
        <v>20</v>
      </c>
    </row>
    <row r="26" spans="2:5" x14ac:dyDescent="0.25">
      <c r="B26" s="2" t="s">
        <v>21</v>
      </c>
      <c r="C26" s="2">
        <v>100</v>
      </c>
      <c r="D26" s="2">
        <v>2</v>
      </c>
      <c r="E26" s="2" t="s">
        <v>17</v>
      </c>
    </row>
    <row r="27" spans="2:5" x14ac:dyDescent="0.25">
      <c r="B27" s="2" t="s">
        <v>21</v>
      </c>
      <c r="C27" s="2">
        <v>120</v>
      </c>
      <c r="D27" s="2">
        <v>4</v>
      </c>
      <c r="E27" s="2" t="s">
        <v>20</v>
      </c>
    </row>
    <row r="28" spans="2:5" x14ac:dyDescent="0.25">
      <c r="B28" s="2" t="s">
        <v>21</v>
      </c>
      <c r="C28" s="2">
        <v>300</v>
      </c>
      <c r="D28" s="2">
        <v>1</v>
      </c>
      <c r="E28" s="2" t="s">
        <v>20</v>
      </c>
    </row>
    <row r="29" spans="2:5" x14ac:dyDescent="0.25">
      <c r="B29" s="2" t="s">
        <v>18</v>
      </c>
      <c r="C29" s="2">
        <v>50</v>
      </c>
      <c r="D29" s="2">
        <v>1</v>
      </c>
      <c r="E29" s="2" t="s">
        <v>20</v>
      </c>
    </row>
    <row r="30" spans="2:5" x14ac:dyDescent="0.25">
      <c r="B30" s="2" t="s">
        <v>23</v>
      </c>
      <c r="C30" s="2">
        <v>1000</v>
      </c>
      <c r="D30" s="2">
        <v>2</v>
      </c>
      <c r="E30" s="2" t="s">
        <v>20</v>
      </c>
    </row>
    <row r="31" spans="2:5" x14ac:dyDescent="0.25">
      <c r="B31" s="2" t="s">
        <v>18</v>
      </c>
      <c r="C31" s="2">
        <v>50</v>
      </c>
      <c r="D31" s="2">
        <v>2</v>
      </c>
      <c r="E31" s="2" t="s">
        <v>20</v>
      </c>
    </row>
    <row r="32" spans="2:5" x14ac:dyDescent="0.25">
      <c r="B32" s="2" t="s">
        <v>18</v>
      </c>
      <c r="C32" s="2">
        <v>500</v>
      </c>
      <c r="D32" s="2">
        <v>1</v>
      </c>
      <c r="E32" s="2" t="s">
        <v>20</v>
      </c>
    </row>
    <row r="33" spans="2:5" x14ac:dyDescent="0.25">
      <c r="B33" s="2" t="s">
        <v>23</v>
      </c>
      <c r="C33" s="2">
        <v>30</v>
      </c>
      <c r="D33" s="2">
        <v>1</v>
      </c>
      <c r="E33" s="2" t="s">
        <v>20</v>
      </c>
    </row>
    <row r="34" spans="2:5" x14ac:dyDescent="0.25">
      <c r="B34" s="2" t="s">
        <v>18</v>
      </c>
      <c r="C34" s="2">
        <v>900</v>
      </c>
      <c r="D34" s="2">
        <v>3</v>
      </c>
      <c r="E34" s="2" t="s">
        <v>20</v>
      </c>
    </row>
    <row r="35" spans="2:5" x14ac:dyDescent="0.25">
      <c r="B35" s="2" t="s">
        <v>23</v>
      </c>
      <c r="C35" s="2">
        <v>1200</v>
      </c>
      <c r="D35" s="2">
        <v>4</v>
      </c>
      <c r="E35" s="2" t="s">
        <v>17</v>
      </c>
    </row>
    <row r="36" spans="2:5" x14ac:dyDescent="0.25">
      <c r="B36" s="2" t="s">
        <v>18</v>
      </c>
      <c r="C36" s="2">
        <v>90</v>
      </c>
      <c r="D36" s="2">
        <v>3</v>
      </c>
      <c r="E36" s="2" t="s">
        <v>17</v>
      </c>
    </row>
    <row r="37" spans="2:5" x14ac:dyDescent="0.25">
      <c r="B37" s="2" t="s">
        <v>23</v>
      </c>
      <c r="C37" s="2">
        <v>100</v>
      </c>
      <c r="D37" s="2">
        <v>2</v>
      </c>
      <c r="E37" s="2" t="s">
        <v>20</v>
      </c>
    </row>
    <row r="38" spans="2:5" x14ac:dyDescent="0.25">
      <c r="B38" s="2" t="s">
        <v>21</v>
      </c>
      <c r="C38" s="2">
        <v>150</v>
      </c>
      <c r="D38" s="2">
        <v>3</v>
      </c>
      <c r="E38" s="2" t="s">
        <v>20</v>
      </c>
    </row>
    <row r="39" spans="2:5" x14ac:dyDescent="0.25">
      <c r="B39" s="2" t="s">
        <v>18</v>
      </c>
      <c r="C39" s="2">
        <v>900</v>
      </c>
      <c r="D39" s="2">
        <v>3</v>
      </c>
      <c r="E39" s="2" t="s">
        <v>20</v>
      </c>
    </row>
    <row r="40" spans="2:5" x14ac:dyDescent="0.25">
      <c r="B40" s="2" t="s">
        <v>18</v>
      </c>
      <c r="C40" s="2">
        <v>900</v>
      </c>
      <c r="D40" s="2">
        <v>3</v>
      </c>
      <c r="E40" s="2" t="s">
        <v>17</v>
      </c>
    </row>
    <row r="41" spans="2:5" x14ac:dyDescent="0.25">
      <c r="B41" s="2" t="s">
        <v>18</v>
      </c>
      <c r="C41" s="2">
        <v>75</v>
      </c>
      <c r="D41" s="2">
        <v>3</v>
      </c>
      <c r="E41" s="2" t="s">
        <v>20</v>
      </c>
    </row>
    <row r="42" spans="2:5" x14ac:dyDescent="0.25">
      <c r="B42" s="2" t="s">
        <v>18</v>
      </c>
      <c r="C42" s="2">
        <v>200</v>
      </c>
      <c r="D42" s="2">
        <v>4</v>
      </c>
      <c r="E42" s="2" t="s">
        <v>17</v>
      </c>
    </row>
    <row r="43" spans="2:5" x14ac:dyDescent="0.25">
      <c r="B43" s="2" t="s">
        <v>21</v>
      </c>
      <c r="C43" s="2">
        <v>120</v>
      </c>
      <c r="D43" s="2">
        <v>4</v>
      </c>
      <c r="E43" s="2" t="s">
        <v>17</v>
      </c>
    </row>
    <row r="44" spans="2:5" x14ac:dyDescent="0.25">
      <c r="B44" s="2" t="s">
        <v>18</v>
      </c>
      <c r="C44" s="2">
        <v>50</v>
      </c>
      <c r="D44" s="2">
        <v>1</v>
      </c>
      <c r="E44" s="2" t="s">
        <v>17</v>
      </c>
    </row>
    <row r="45" spans="2:5" x14ac:dyDescent="0.25">
      <c r="B45" s="2" t="s">
        <v>21</v>
      </c>
      <c r="C45" s="2">
        <v>50</v>
      </c>
      <c r="D45" s="2">
        <v>2</v>
      </c>
      <c r="E45" s="2" t="s">
        <v>17</v>
      </c>
    </row>
    <row r="46" spans="2:5" x14ac:dyDescent="0.25">
      <c r="B46" s="2" t="s">
        <v>21</v>
      </c>
      <c r="C46" s="2">
        <v>900</v>
      </c>
      <c r="D46" s="2">
        <v>3</v>
      </c>
      <c r="E46" s="2" t="s">
        <v>17</v>
      </c>
    </row>
    <row r="47" spans="2:5" x14ac:dyDescent="0.25">
      <c r="B47" s="2" t="s">
        <v>21</v>
      </c>
      <c r="C47" s="2">
        <v>300</v>
      </c>
      <c r="D47" s="2">
        <v>1</v>
      </c>
      <c r="E47" s="2" t="s">
        <v>20</v>
      </c>
    </row>
    <row r="48" spans="2:5" x14ac:dyDescent="0.25">
      <c r="B48" s="2" t="s">
        <v>21</v>
      </c>
      <c r="C48" s="2">
        <v>25</v>
      </c>
      <c r="D48" s="2">
        <v>1</v>
      </c>
      <c r="E48" s="2" t="s">
        <v>20</v>
      </c>
    </row>
    <row r="49" spans="2:5" x14ac:dyDescent="0.25">
      <c r="B49" s="2" t="s">
        <v>23</v>
      </c>
      <c r="C49" s="2">
        <v>30</v>
      </c>
      <c r="D49" s="2">
        <v>1</v>
      </c>
      <c r="E49" s="2" t="s">
        <v>20</v>
      </c>
    </row>
    <row r="50" spans="2:5" x14ac:dyDescent="0.25">
      <c r="B50" s="2" t="s">
        <v>23</v>
      </c>
      <c r="C50" s="2">
        <v>1200</v>
      </c>
      <c r="D50" s="2">
        <v>4</v>
      </c>
      <c r="E50" s="2" t="s">
        <v>20</v>
      </c>
    </row>
    <row r="51" spans="2:5" x14ac:dyDescent="0.25">
      <c r="B51" s="2" t="s">
        <v>18</v>
      </c>
      <c r="C51" s="2">
        <v>1500</v>
      </c>
      <c r="D51" s="2">
        <v>3</v>
      </c>
      <c r="E51" s="2" t="s">
        <v>20</v>
      </c>
    </row>
    <row r="52" spans="2:5" x14ac:dyDescent="0.25">
      <c r="B52" s="2" t="s">
        <v>23</v>
      </c>
      <c r="C52" s="2">
        <v>900</v>
      </c>
      <c r="D52" s="2">
        <v>3</v>
      </c>
      <c r="E52" s="2" t="s">
        <v>17</v>
      </c>
    </row>
    <row r="53" spans="2:5" x14ac:dyDescent="0.25">
      <c r="B53" s="2" t="s">
        <v>23</v>
      </c>
      <c r="C53" s="2">
        <v>1000</v>
      </c>
      <c r="D53" s="2">
        <v>2</v>
      </c>
      <c r="E53" s="2" t="s">
        <v>20</v>
      </c>
    </row>
    <row r="54" spans="2:5" x14ac:dyDescent="0.25">
      <c r="B54" s="2" t="s">
        <v>18</v>
      </c>
      <c r="C54" s="2">
        <v>75</v>
      </c>
      <c r="D54" s="2">
        <v>3</v>
      </c>
      <c r="E54" s="2" t="s">
        <v>20</v>
      </c>
    </row>
    <row r="55" spans="2:5" x14ac:dyDescent="0.25">
      <c r="B55" s="2" t="s">
        <v>18</v>
      </c>
      <c r="C55" s="2">
        <v>75</v>
      </c>
      <c r="D55" s="2">
        <v>3</v>
      </c>
      <c r="E55" s="2" t="s">
        <v>17</v>
      </c>
    </row>
    <row r="56" spans="2:5" x14ac:dyDescent="0.25">
      <c r="B56" s="2" t="s">
        <v>18</v>
      </c>
      <c r="C56" s="2">
        <v>300</v>
      </c>
      <c r="D56" s="2">
        <v>1</v>
      </c>
      <c r="E56" s="2" t="s">
        <v>20</v>
      </c>
    </row>
    <row r="57" spans="2:5" x14ac:dyDescent="0.25">
      <c r="B57" s="2" t="s">
        <v>23</v>
      </c>
      <c r="C57" s="2">
        <v>100</v>
      </c>
      <c r="D57" s="2">
        <v>2</v>
      </c>
      <c r="E57" s="2" t="s">
        <v>17</v>
      </c>
    </row>
    <row r="58" spans="2:5" x14ac:dyDescent="0.25">
      <c r="B58" s="2" t="s">
        <v>23</v>
      </c>
      <c r="C58" s="2">
        <v>1500</v>
      </c>
      <c r="D58" s="2">
        <v>3</v>
      </c>
      <c r="E58" s="2" t="s">
        <v>20</v>
      </c>
    </row>
    <row r="59" spans="2:5" x14ac:dyDescent="0.25">
      <c r="B59" s="2" t="s">
        <v>18</v>
      </c>
      <c r="C59" s="2">
        <v>120</v>
      </c>
      <c r="D59" s="2">
        <v>4</v>
      </c>
      <c r="E59" s="2" t="s">
        <v>17</v>
      </c>
    </row>
    <row r="60" spans="2:5" x14ac:dyDescent="0.25">
      <c r="B60" s="2" t="s">
        <v>21</v>
      </c>
      <c r="C60" s="2">
        <v>900</v>
      </c>
      <c r="D60" s="2">
        <v>3</v>
      </c>
      <c r="E60" s="2" t="s">
        <v>20</v>
      </c>
    </row>
    <row r="61" spans="2:5" x14ac:dyDescent="0.25">
      <c r="B61" s="2" t="s">
        <v>18</v>
      </c>
      <c r="C61" s="2">
        <v>30</v>
      </c>
      <c r="D61" s="2">
        <v>1</v>
      </c>
      <c r="E61" s="2" t="s">
        <v>20</v>
      </c>
    </row>
    <row r="62" spans="2:5" x14ac:dyDescent="0.25">
      <c r="B62" s="2" t="s">
        <v>21</v>
      </c>
      <c r="C62" s="2">
        <v>1200</v>
      </c>
      <c r="D62" s="2">
        <v>4</v>
      </c>
      <c r="E62" s="2" t="s">
        <v>17</v>
      </c>
    </row>
    <row r="63" spans="2:5" x14ac:dyDescent="0.25">
      <c r="B63" s="2" t="s">
        <v>21</v>
      </c>
      <c r="C63" s="2">
        <v>50</v>
      </c>
      <c r="D63" s="2">
        <v>1</v>
      </c>
      <c r="E63" s="2" t="s">
        <v>17</v>
      </c>
    </row>
    <row r="64" spans="2:5" x14ac:dyDescent="0.25">
      <c r="B64" s="2" t="s">
        <v>18</v>
      </c>
      <c r="C64" s="2">
        <v>150</v>
      </c>
      <c r="D64" s="2">
        <v>3</v>
      </c>
      <c r="E64" s="2" t="s">
        <v>17</v>
      </c>
    </row>
    <row r="65" spans="2:5" x14ac:dyDescent="0.25">
      <c r="B65" s="2" t="s">
        <v>18</v>
      </c>
      <c r="C65" s="2">
        <v>200</v>
      </c>
      <c r="D65" s="2">
        <v>4</v>
      </c>
      <c r="E65" s="2" t="s">
        <v>17</v>
      </c>
    </row>
    <row r="66" spans="2:5" x14ac:dyDescent="0.25">
      <c r="B66" s="2" t="s">
        <v>18</v>
      </c>
      <c r="C66" s="2">
        <v>100</v>
      </c>
      <c r="D66" s="2">
        <v>2</v>
      </c>
      <c r="E66" s="2" t="s">
        <v>17</v>
      </c>
    </row>
    <row r="67" spans="2:5" x14ac:dyDescent="0.25">
      <c r="B67" s="2" t="s">
        <v>23</v>
      </c>
      <c r="C67" s="2">
        <v>50</v>
      </c>
      <c r="D67" s="2">
        <v>2</v>
      </c>
      <c r="E67" s="2" t="s">
        <v>17</v>
      </c>
    </row>
    <row r="68" spans="2:5" x14ac:dyDescent="0.25">
      <c r="B68" s="2" t="s">
        <v>21</v>
      </c>
      <c r="C68" s="2">
        <v>100</v>
      </c>
      <c r="D68" s="2">
        <v>4</v>
      </c>
      <c r="E68" s="2" t="s">
        <v>17</v>
      </c>
    </row>
    <row r="69" spans="2:5" x14ac:dyDescent="0.25">
      <c r="B69" s="2" t="s">
        <v>23</v>
      </c>
      <c r="C69" s="2">
        <v>2000</v>
      </c>
      <c r="D69" s="2">
        <v>4</v>
      </c>
      <c r="E69" s="2" t="s">
        <v>17</v>
      </c>
    </row>
    <row r="70" spans="2:5" x14ac:dyDescent="0.25">
      <c r="B70" s="2" t="s">
        <v>23</v>
      </c>
      <c r="C70" s="2">
        <v>30</v>
      </c>
      <c r="D70" s="2">
        <v>1</v>
      </c>
      <c r="E70" s="2" t="s">
        <v>20</v>
      </c>
    </row>
    <row r="71" spans="2:5" x14ac:dyDescent="0.25">
      <c r="B71" s="2" t="s">
        <v>18</v>
      </c>
      <c r="C71" s="2">
        <v>1200</v>
      </c>
      <c r="D71" s="2">
        <v>4</v>
      </c>
      <c r="E71" s="2" t="s">
        <v>20</v>
      </c>
    </row>
    <row r="72" spans="2:5" x14ac:dyDescent="0.25">
      <c r="B72" s="2" t="s">
        <v>23</v>
      </c>
      <c r="C72" s="2">
        <v>300</v>
      </c>
      <c r="D72" s="2">
        <v>1</v>
      </c>
      <c r="E72" s="2" t="s">
        <v>17</v>
      </c>
    </row>
    <row r="73" spans="2:5" x14ac:dyDescent="0.25">
      <c r="B73" s="2" t="s">
        <v>18</v>
      </c>
      <c r="C73" s="2">
        <v>75</v>
      </c>
      <c r="D73" s="2">
        <v>3</v>
      </c>
      <c r="E73" s="2" t="s">
        <v>20</v>
      </c>
    </row>
    <row r="74" spans="2:5" x14ac:dyDescent="0.25">
      <c r="B74" s="2" t="s">
        <v>21</v>
      </c>
      <c r="C74" s="2">
        <v>300</v>
      </c>
      <c r="D74" s="2">
        <v>1</v>
      </c>
      <c r="E74" s="2" t="s">
        <v>20</v>
      </c>
    </row>
    <row r="75" spans="2:5" x14ac:dyDescent="0.25">
      <c r="B75" s="2" t="s">
        <v>18</v>
      </c>
      <c r="C75" s="2">
        <v>100</v>
      </c>
      <c r="D75" s="2">
        <v>4</v>
      </c>
      <c r="E75" s="2" t="s">
        <v>20</v>
      </c>
    </row>
    <row r="76" spans="2:5" x14ac:dyDescent="0.25">
      <c r="B76" s="2" t="s">
        <v>23</v>
      </c>
      <c r="C76" s="2">
        <v>2000</v>
      </c>
      <c r="D76" s="2">
        <v>4</v>
      </c>
      <c r="E76" s="2" t="s">
        <v>20</v>
      </c>
    </row>
    <row r="77" spans="2:5" x14ac:dyDescent="0.25">
      <c r="B77" s="2" t="s">
        <v>23</v>
      </c>
      <c r="C77" s="2">
        <v>90</v>
      </c>
      <c r="D77" s="2">
        <v>3</v>
      </c>
      <c r="E77" s="2" t="s">
        <v>17</v>
      </c>
    </row>
    <row r="78" spans="2:5" x14ac:dyDescent="0.25">
      <c r="B78" s="2" t="s">
        <v>18</v>
      </c>
      <c r="C78" s="2">
        <v>2000</v>
      </c>
      <c r="D78" s="2">
        <v>4</v>
      </c>
      <c r="E78" s="2" t="s">
        <v>20</v>
      </c>
    </row>
    <row r="79" spans="2:5" x14ac:dyDescent="0.25">
      <c r="B79" s="2" t="s">
        <v>18</v>
      </c>
      <c r="C79" s="2">
        <v>200</v>
      </c>
      <c r="D79" s="2">
        <v>4</v>
      </c>
      <c r="E79" s="2" t="s">
        <v>17</v>
      </c>
    </row>
    <row r="80" spans="2:5" x14ac:dyDescent="0.25">
      <c r="B80" s="2" t="s">
        <v>23</v>
      </c>
      <c r="C80" s="2">
        <v>100</v>
      </c>
      <c r="D80" s="2">
        <v>2</v>
      </c>
      <c r="E80" s="2" t="s">
        <v>20</v>
      </c>
    </row>
    <row r="81" spans="2:5" x14ac:dyDescent="0.25">
      <c r="B81" s="2" t="s">
        <v>21</v>
      </c>
      <c r="C81" s="2">
        <v>100</v>
      </c>
      <c r="D81" s="2">
        <v>2</v>
      </c>
      <c r="E81" s="2" t="s">
        <v>20</v>
      </c>
    </row>
    <row r="82" spans="2:5" x14ac:dyDescent="0.25">
      <c r="B82" s="2" t="s">
        <v>21</v>
      </c>
      <c r="C82" s="2">
        <v>1500</v>
      </c>
      <c r="D82" s="2">
        <v>3</v>
      </c>
      <c r="E82" s="2" t="s">
        <v>20</v>
      </c>
    </row>
    <row r="83" spans="2:5" x14ac:dyDescent="0.25">
      <c r="B83" s="2" t="s">
        <v>18</v>
      </c>
      <c r="C83" s="2">
        <v>300</v>
      </c>
      <c r="D83" s="2">
        <v>1</v>
      </c>
      <c r="E83" s="2" t="s">
        <v>17</v>
      </c>
    </row>
    <row r="84" spans="2:5" x14ac:dyDescent="0.25">
      <c r="B84" s="2" t="s">
        <v>21</v>
      </c>
      <c r="C84" s="2">
        <v>60</v>
      </c>
      <c r="D84" s="2">
        <v>2</v>
      </c>
      <c r="E84" s="2" t="s">
        <v>20</v>
      </c>
    </row>
    <row r="85" spans="2:5" x14ac:dyDescent="0.25">
      <c r="B85" s="2" t="s">
        <v>23</v>
      </c>
      <c r="C85" s="2">
        <v>50</v>
      </c>
      <c r="D85" s="2">
        <v>1</v>
      </c>
      <c r="E85" s="2" t="s">
        <v>17</v>
      </c>
    </row>
    <row r="86" spans="2:5" x14ac:dyDescent="0.25">
      <c r="B86" s="2" t="s">
        <v>18</v>
      </c>
      <c r="C86" s="2">
        <v>200</v>
      </c>
      <c r="D86" s="2">
        <v>4</v>
      </c>
      <c r="E86" s="2" t="s">
        <v>20</v>
      </c>
    </row>
    <row r="87" spans="2:5" x14ac:dyDescent="0.25">
      <c r="B87" s="2" t="s">
        <v>23</v>
      </c>
      <c r="C87" s="2">
        <v>100</v>
      </c>
      <c r="D87" s="2">
        <v>2</v>
      </c>
      <c r="E87" s="2" t="s">
        <v>17</v>
      </c>
    </row>
    <row r="88" spans="2:5" x14ac:dyDescent="0.25">
      <c r="B88" s="2" t="s">
        <v>23</v>
      </c>
      <c r="C88" s="2">
        <v>90</v>
      </c>
      <c r="D88" s="2">
        <v>3</v>
      </c>
      <c r="E88" s="2" t="s">
        <v>20</v>
      </c>
    </row>
    <row r="89" spans="2:5" x14ac:dyDescent="0.25">
      <c r="B89" s="2" t="s">
        <v>21</v>
      </c>
      <c r="C89" s="2">
        <v>150</v>
      </c>
      <c r="D89" s="2">
        <v>3</v>
      </c>
      <c r="E89" s="2" t="s">
        <v>17</v>
      </c>
    </row>
    <row r="90" spans="2:5" x14ac:dyDescent="0.25">
      <c r="B90" s="2" t="s">
        <v>18</v>
      </c>
      <c r="C90" s="2">
        <v>90</v>
      </c>
      <c r="D90" s="2">
        <v>3</v>
      </c>
      <c r="E90" s="2" t="s">
        <v>17</v>
      </c>
    </row>
    <row r="91" spans="2:5" x14ac:dyDescent="0.25">
      <c r="B91" s="2" t="s">
        <v>18</v>
      </c>
      <c r="C91" s="2">
        <v>100</v>
      </c>
      <c r="D91" s="2">
        <v>2</v>
      </c>
      <c r="E91" s="2" t="s">
        <v>20</v>
      </c>
    </row>
    <row r="92" spans="2:5" x14ac:dyDescent="0.25">
      <c r="B92" s="2" t="s">
        <v>21</v>
      </c>
      <c r="C92" s="2">
        <v>500</v>
      </c>
      <c r="D92" s="2">
        <v>1</v>
      </c>
      <c r="E92" s="2" t="s">
        <v>17</v>
      </c>
    </row>
    <row r="93" spans="2:5" x14ac:dyDescent="0.25">
      <c r="B93" s="2" t="s">
        <v>23</v>
      </c>
      <c r="C93" s="2">
        <v>2000</v>
      </c>
      <c r="D93" s="2">
        <v>4</v>
      </c>
      <c r="E93" s="2" t="s">
        <v>20</v>
      </c>
    </row>
    <row r="94" spans="2:5" x14ac:dyDescent="0.25">
      <c r="B94" s="2" t="s">
        <v>23</v>
      </c>
      <c r="C94" s="2">
        <v>30</v>
      </c>
      <c r="D94" s="2">
        <v>1</v>
      </c>
      <c r="E94" s="2" t="s">
        <v>20</v>
      </c>
    </row>
    <row r="95" spans="2:5" x14ac:dyDescent="0.25">
      <c r="B95" s="2" t="s">
        <v>23</v>
      </c>
      <c r="C95" s="2">
        <v>500</v>
      </c>
      <c r="D95" s="2">
        <v>1</v>
      </c>
      <c r="E95" s="2" t="s">
        <v>20</v>
      </c>
    </row>
    <row r="96" spans="2:5" x14ac:dyDescent="0.25">
      <c r="B96" s="2" t="s">
        <v>23</v>
      </c>
      <c r="C96" s="2">
        <v>120</v>
      </c>
      <c r="D96" s="2">
        <v>4</v>
      </c>
      <c r="E96" s="2" t="s">
        <v>20</v>
      </c>
    </row>
    <row r="97" spans="2:5" x14ac:dyDescent="0.25">
      <c r="B97" s="2" t="s">
        <v>18</v>
      </c>
      <c r="C97" s="2">
        <v>2000</v>
      </c>
      <c r="D97" s="2">
        <v>4</v>
      </c>
      <c r="E97" s="2" t="s">
        <v>20</v>
      </c>
    </row>
    <row r="98" spans="2:5" x14ac:dyDescent="0.25">
      <c r="B98" s="2" t="s">
        <v>18</v>
      </c>
      <c r="C98" s="2">
        <v>1000</v>
      </c>
      <c r="D98" s="2">
        <v>2</v>
      </c>
      <c r="E98" s="2" t="s">
        <v>20</v>
      </c>
    </row>
    <row r="99" spans="2:5" x14ac:dyDescent="0.25">
      <c r="B99" s="2" t="s">
        <v>21</v>
      </c>
      <c r="C99" s="2">
        <v>60</v>
      </c>
      <c r="D99" s="2">
        <v>2</v>
      </c>
      <c r="E99" s="2" t="s">
        <v>20</v>
      </c>
    </row>
    <row r="100" spans="2:5" x14ac:dyDescent="0.25">
      <c r="B100" s="2" t="s">
        <v>21</v>
      </c>
      <c r="C100" s="2">
        <v>600</v>
      </c>
      <c r="D100" s="2">
        <v>2</v>
      </c>
      <c r="E100" s="2" t="s">
        <v>20</v>
      </c>
    </row>
    <row r="101" spans="2:5" x14ac:dyDescent="0.25">
      <c r="B101" s="2" t="s">
        <v>18</v>
      </c>
      <c r="C101" s="2">
        <v>1000</v>
      </c>
      <c r="D101" s="2">
        <v>2</v>
      </c>
      <c r="E101" s="2" t="s">
        <v>20</v>
      </c>
    </row>
    <row r="102" spans="2:5" x14ac:dyDescent="0.25">
      <c r="B102" s="2" t="s">
        <v>18</v>
      </c>
      <c r="C102" s="2">
        <v>100</v>
      </c>
      <c r="D102" s="2">
        <v>2</v>
      </c>
      <c r="E102" s="2" t="s">
        <v>20</v>
      </c>
    </row>
    <row r="103" spans="2:5" x14ac:dyDescent="0.25">
      <c r="B103" s="2" t="s">
        <v>23</v>
      </c>
      <c r="C103" s="2">
        <v>1200</v>
      </c>
      <c r="D103" s="2">
        <v>4</v>
      </c>
      <c r="E103" s="2" t="s">
        <v>20</v>
      </c>
    </row>
    <row r="104" spans="2:5" x14ac:dyDescent="0.25">
      <c r="B104" s="2" t="s">
        <v>23</v>
      </c>
      <c r="C104" s="2">
        <v>30</v>
      </c>
      <c r="D104" s="2">
        <v>1</v>
      </c>
      <c r="E104" s="2" t="s">
        <v>17</v>
      </c>
    </row>
    <row r="105" spans="2:5" x14ac:dyDescent="0.25">
      <c r="B105" s="2" t="s">
        <v>21</v>
      </c>
      <c r="C105" s="2">
        <v>600</v>
      </c>
      <c r="D105" s="2">
        <v>2</v>
      </c>
      <c r="E105" s="2" t="s">
        <v>17</v>
      </c>
    </row>
    <row r="106" spans="2:5" x14ac:dyDescent="0.25">
      <c r="B106" s="2" t="s">
        <v>18</v>
      </c>
      <c r="C106" s="2">
        <v>50</v>
      </c>
      <c r="D106" s="2">
        <v>2</v>
      </c>
      <c r="E106" s="2" t="s">
        <v>20</v>
      </c>
    </row>
    <row r="107" spans="2:5" x14ac:dyDescent="0.25">
      <c r="B107" s="2" t="s">
        <v>21</v>
      </c>
      <c r="C107" s="2">
        <v>25</v>
      </c>
      <c r="D107" s="2">
        <v>1</v>
      </c>
      <c r="E107" s="2" t="s">
        <v>20</v>
      </c>
    </row>
    <row r="108" spans="2:5" x14ac:dyDescent="0.25">
      <c r="B108" s="2" t="s">
        <v>18</v>
      </c>
      <c r="C108" s="2">
        <v>1000</v>
      </c>
      <c r="D108" s="2">
        <v>2</v>
      </c>
      <c r="E108" s="2" t="s">
        <v>20</v>
      </c>
    </row>
    <row r="109" spans="2:5" x14ac:dyDescent="0.25">
      <c r="B109" s="2" t="s">
        <v>23</v>
      </c>
      <c r="C109" s="2">
        <v>500</v>
      </c>
      <c r="D109" s="2">
        <v>1</v>
      </c>
      <c r="E109" s="2" t="s">
        <v>20</v>
      </c>
    </row>
    <row r="110" spans="2:5" x14ac:dyDescent="0.25">
      <c r="B110" s="2" t="s">
        <v>21</v>
      </c>
      <c r="C110" s="2">
        <v>50</v>
      </c>
      <c r="D110" s="2">
        <v>1</v>
      </c>
      <c r="E110" s="2" t="s">
        <v>20</v>
      </c>
    </row>
    <row r="111" spans="2:5" x14ac:dyDescent="0.25">
      <c r="B111" s="2" t="s">
        <v>21</v>
      </c>
      <c r="C111" s="2">
        <v>1200</v>
      </c>
      <c r="D111" s="2">
        <v>4</v>
      </c>
      <c r="E111" s="2" t="s">
        <v>20</v>
      </c>
    </row>
    <row r="112" spans="2:5" x14ac:dyDescent="0.25">
      <c r="B112" s="2" t="s">
        <v>18</v>
      </c>
      <c r="C112" s="2">
        <v>75</v>
      </c>
      <c r="D112" s="2">
        <v>3</v>
      </c>
      <c r="E112" s="2" t="s">
        <v>20</v>
      </c>
    </row>
    <row r="113" spans="2:5" x14ac:dyDescent="0.25">
      <c r="B113" s="2" t="s">
        <v>23</v>
      </c>
      <c r="C113" s="2">
        <v>2000</v>
      </c>
      <c r="D113" s="2">
        <v>4</v>
      </c>
      <c r="E113" s="2" t="s">
        <v>20</v>
      </c>
    </row>
    <row r="114" spans="2:5" x14ac:dyDescent="0.25">
      <c r="B114" s="2" t="s">
        <v>21</v>
      </c>
      <c r="C114" s="2">
        <v>900</v>
      </c>
      <c r="D114" s="2">
        <v>3</v>
      </c>
      <c r="E114" s="2" t="s">
        <v>17</v>
      </c>
    </row>
    <row r="115" spans="2:5" x14ac:dyDescent="0.25">
      <c r="B115" s="2" t="s">
        <v>23</v>
      </c>
      <c r="C115" s="2">
        <v>1500</v>
      </c>
      <c r="D115" s="2">
        <v>3</v>
      </c>
      <c r="E115" s="2" t="s">
        <v>20</v>
      </c>
    </row>
    <row r="116" spans="2:5" x14ac:dyDescent="0.25">
      <c r="B116" s="2" t="s">
        <v>21</v>
      </c>
      <c r="C116" s="2">
        <v>1500</v>
      </c>
      <c r="D116" s="2">
        <v>3</v>
      </c>
      <c r="E116" s="2" t="s">
        <v>17</v>
      </c>
    </row>
    <row r="117" spans="2:5" x14ac:dyDescent="0.25">
      <c r="B117" s="2" t="s">
        <v>23</v>
      </c>
      <c r="C117" s="2">
        <v>50</v>
      </c>
      <c r="D117" s="2">
        <v>2</v>
      </c>
      <c r="E117" s="2" t="s">
        <v>20</v>
      </c>
    </row>
    <row r="118" spans="2:5" x14ac:dyDescent="0.25">
      <c r="B118" s="2" t="s">
        <v>18</v>
      </c>
      <c r="C118" s="2">
        <v>100</v>
      </c>
      <c r="D118" s="2">
        <v>4</v>
      </c>
      <c r="E118" s="2" t="s">
        <v>20</v>
      </c>
    </row>
    <row r="119" spans="2:5" x14ac:dyDescent="0.25">
      <c r="B119" s="2" t="s">
        <v>21</v>
      </c>
      <c r="C119" s="2">
        <v>1500</v>
      </c>
      <c r="D119" s="2">
        <v>3</v>
      </c>
      <c r="E119" s="2" t="s">
        <v>17</v>
      </c>
    </row>
    <row r="120" spans="2:5" x14ac:dyDescent="0.25">
      <c r="B120" s="2" t="s">
        <v>21</v>
      </c>
      <c r="C120" s="2">
        <v>30</v>
      </c>
      <c r="D120" s="2">
        <v>1</v>
      </c>
      <c r="E120" s="2" t="s">
        <v>20</v>
      </c>
    </row>
    <row r="121" spans="2:5" x14ac:dyDescent="0.25">
      <c r="B121" s="2" t="s">
        <v>23</v>
      </c>
      <c r="C121" s="2">
        <v>1000</v>
      </c>
      <c r="D121" s="2">
        <v>2</v>
      </c>
      <c r="E121" s="2" t="s">
        <v>17</v>
      </c>
    </row>
    <row r="122" spans="2:5" x14ac:dyDescent="0.25">
      <c r="B122" s="2" t="s">
        <v>23</v>
      </c>
      <c r="C122" s="2">
        <v>2000</v>
      </c>
      <c r="D122" s="2">
        <v>4</v>
      </c>
      <c r="E122" s="2" t="s">
        <v>20</v>
      </c>
    </row>
    <row r="123" spans="2:5" x14ac:dyDescent="0.25">
      <c r="B123" s="2" t="s">
        <v>21</v>
      </c>
      <c r="C123" s="2">
        <v>150</v>
      </c>
      <c r="D123" s="2">
        <v>3</v>
      </c>
      <c r="E123" s="2" t="s">
        <v>20</v>
      </c>
    </row>
    <row r="124" spans="2:5" x14ac:dyDescent="0.25">
      <c r="B124" s="2" t="s">
        <v>18</v>
      </c>
      <c r="C124" s="2">
        <v>50</v>
      </c>
      <c r="D124" s="2">
        <v>1</v>
      </c>
      <c r="E124" s="2" t="s">
        <v>17</v>
      </c>
    </row>
    <row r="125" spans="2:5" x14ac:dyDescent="0.25">
      <c r="B125" s="2" t="s">
        <v>23</v>
      </c>
      <c r="C125" s="2">
        <v>200</v>
      </c>
      <c r="D125" s="2">
        <v>4</v>
      </c>
      <c r="E125" s="2" t="s">
        <v>20</v>
      </c>
    </row>
    <row r="126" spans="2:5" x14ac:dyDescent="0.25">
      <c r="B126" s="2" t="s">
        <v>23</v>
      </c>
      <c r="C126" s="2">
        <v>120</v>
      </c>
      <c r="D126" s="2">
        <v>4</v>
      </c>
      <c r="E126" s="2" t="s">
        <v>17</v>
      </c>
    </row>
    <row r="127" spans="2:5" x14ac:dyDescent="0.25">
      <c r="B127" s="2" t="s">
        <v>23</v>
      </c>
      <c r="C127" s="2">
        <v>60</v>
      </c>
      <c r="D127" s="2">
        <v>2</v>
      </c>
      <c r="E127" s="2" t="s">
        <v>20</v>
      </c>
    </row>
    <row r="128" spans="2:5" x14ac:dyDescent="0.25">
      <c r="B128" s="2" t="s">
        <v>21</v>
      </c>
      <c r="C128" s="2">
        <v>2000</v>
      </c>
      <c r="D128" s="2">
        <v>4</v>
      </c>
      <c r="E128" s="2" t="s">
        <v>17</v>
      </c>
    </row>
    <row r="129" spans="2:5" x14ac:dyDescent="0.25">
      <c r="B129" s="2" t="s">
        <v>21</v>
      </c>
      <c r="C129" s="2">
        <v>100</v>
      </c>
      <c r="D129" s="2">
        <v>2</v>
      </c>
      <c r="E129" s="2" t="s">
        <v>17</v>
      </c>
    </row>
    <row r="130" spans="2:5" x14ac:dyDescent="0.25">
      <c r="B130" s="2" t="s">
        <v>21</v>
      </c>
      <c r="C130" s="2">
        <v>90</v>
      </c>
      <c r="D130" s="2">
        <v>3</v>
      </c>
      <c r="E130" s="2" t="s">
        <v>20</v>
      </c>
    </row>
    <row r="131" spans="2:5" x14ac:dyDescent="0.25">
      <c r="B131" s="2" t="s">
        <v>21</v>
      </c>
      <c r="C131" s="2">
        <v>50</v>
      </c>
      <c r="D131" s="2">
        <v>2</v>
      </c>
      <c r="E131" s="2" t="s">
        <v>20</v>
      </c>
    </row>
    <row r="132" spans="2:5" x14ac:dyDescent="0.25">
      <c r="B132" s="2" t="s">
        <v>18</v>
      </c>
      <c r="C132" s="2">
        <v>500</v>
      </c>
      <c r="D132" s="2">
        <v>1</v>
      </c>
      <c r="E132" s="2" t="s">
        <v>17</v>
      </c>
    </row>
    <row r="133" spans="2:5" x14ac:dyDescent="0.25">
      <c r="B133" s="2" t="s">
        <v>18</v>
      </c>
      <c r="C133" s="2">
        <v>600</v>
      </c>
      <c r="D133" s="2">
        <v>2</v>
      </c>
      <c r="E133" s="2" t="s">
        <v>20</v>
      </c>
    </row>
    <row r="134" spans="2:5" x14ac:dyDescent="0.25">
      <c r="B134" s="2" t="s">
        <v>21</v>
      </c>
      <c r="C134" s="2">
        <v>500</v>
      </c>
      <c r="D134" s="2">
        <v>1</v>
      </c>
      <c r="E134" s="2" t="s">
        <v>20</v>
      </c>
    </row>
    <row r="135" spans="2:5" x14ac:dyDescent="0.25">
      <c r="B135" s="2" t="s">
        <v>18</v>
      </c>
      <c r="C135" s="2">
        <v>600</v>
      </c>
      <c r="D135" s="2">
        <v>2</v>
      </c>
      <c r="E135" s="2" t="s">
        <v>20</v>
      </c>
    </row>
    <row r="136" spans="2:5" x14ac:dyDescent="0.25">
      <c r="B136" s="2" t="s">
        <v>23</v>
      </c>
      <c r="C136" s="2">
        <v>200</v>
      </c>
      <c r="D136" s="2">
        <v>4</v>
      </c>
      <c r="E136" s="2" t="s">
        <v>17</v>
      </c>
    </row>
    <row r="137" spans="2:5" x14ac:dyDescent="0.25">
      <c r="B137" s="2" t="s">
        <v>23</v>
      </c>
      <c r="C137" s="2">
        <v>900</v>
      </c>
      <c r="D137" s="2">
        <v>3</v>
      </c>
      <c r="E137" s="2" t="s">
        <v>17</v>
      </c>
    </row>
    <row r="138" spans="2:5" x14ac:dyDescent="0.25">
      <c r="B138" s="2" t="s">
        <v>23</v>
      </c>
      <c r="C138" s="2">
        <v>50</v>
      </c>
      <c r="D138" s="2">
        <v>1</v>
      </c>
      <c r="E138" s="2" t="s">
        <v>17</v>
      </c>
    </row>
    <row r="139" spans="2:5" x14ac:dyDescent="0.25">
      <c r="B139" s="2" t="s">
        <v>21</v>
      </c>
      <c r="C139" s="2">
        <v>50</v>
      </c>
      <c r="D139" s="2">
        <v>2</v>
      </c>
      <c r="E139" s="2" t="s">
        <v>17</v>
      </c>
    </row>
    <row r="140" spans="2:5" x14ac:dyDescent="0.25">
      <c r="B140" s="2" t="s">
        <v>23</v>
      </c>
      <c r="C140" s="2">
        <v>600</v>
      </c>
      <c r="D140" s="2">
        <v>2</v>
      </c>
      <c r="E140" s="2" t="s">
        <v>17</v>
      </c>
    </row>
    <row r="141" spans="2:5" x14ac:dyDescent="0.25">
      <c r="B141" s="2" t="s">
        <v>18</v>
      </c>
      <c r="C141" s="2">
        <v>1000</v>
      </c>
      <c r="D141" s="2">
        <v>2</v>
      </c>
      <c r="E141" s="2" t="s">
        <v>17</v>
      </c>
    </row>
    <row r="142" spans="2:5" x14ac:dyDescent="0.25">
      <c r="B142" s="2" t="s">
        <v>21</v>
      </c>
      <c r="C142" s="2">
        <v>200</v>
      </c>
      <c r="D142" s="2">
        <v>4</v>
      </c>
      <c r="E142" s="2" t="s">
        <v>17</v>
      </c>
    </row>
    <row r="143" spans="2:5" x14ac:dyDescent="0.25">
      <c r="B143" s="2" t="s">
        <v>18</v>
      </c>
      <c r="C143" s="2">
        <v>2000</v>
      </c>
      <c r="D143" s="2">
        <v>4</v>
      </c>
      <c r="E143" s="2" t="s">
        <v>17</v>
      </c>
    </row>
    <row r="144" spans="2:5" x14ac:dyDescent="0.25">
      <c r="B144" s="2" t="s">
        <v>23</v>
      </c>
      <c r="C144" s="2">
        <v>30</v>
      </c>
      <c r="D144" s="2">
        <v>1</v>
      </c>
      <c r="E144" s="2" t="s">
        <v>17</v>
      </c>
    </row>
    <row r="145" spans="2:5" x14ac:dyDescent="0.25">
      <c r="B145" s="2" t="s">
        <v>23</v>
      </c>
      <c r="C145" s="2">
        <v>50</v>
      </c>
      <c r="D145" s="2">
        <v>1</v>
      </c>
      <c r="E145" s="2" t="s">
        <v>20</v>
      </c>
    </row>
    <row r="146" spans="2:5" x14ac:dyDescent="0.25">
      <c r="B146" s="2" t="s">
        <v>23</v>
      </c>
      <c r="C146" s="2">
        <v>1200</v>
      </c>
      <c r="D146" s="2">
        <v>4</v>
      </c>
      <c r="E146" s="2" t="s">
        <v>17</v>
      </c>
    </row>
    <row r="147" spans="2:5" x14ac:dyDescent="0.25">
      <c r="B147" s="2" t="s">
        <v>21</v>
      </c>
      <c r="C147" s="2">
        <v>50</v>
      </c>
      <c r="D147" s="2">
        <v>1</v>
      </c>
      <c r="E147" s="2" t="s">
        <v>20</v>
      </c>
    </row>
    <row r="148" spans="2:5" x14ac:dyDescent="0.25">
      <c r="B148" s="2" t="s">
        <v>18</v>
      </c>
      <c r="C148" s="2">
        <v>1500</v>
      </c>
      <c r="D148" s="2">
        <v>3</v>
      </c>
      <c r="E148" s="2" t="s">
        <v>20</v>
      </c>
    </row>
    <row r="149" spans="2:5" x14ac:dyDescent="0.25">
      <c r="B149" s="2" t="s">
        <v>21</v>
      </c>
      <c r="C149" s="2">
        <v>75</v>
      </c>
      <c r="D149" s="2">
        <v>3</v>
      </c>
      <c r="E149" s="2" t="s">
        <v>20</v>
      </c>
    </row>
    <row r="150" spans="2:5" x14ac:dyDescent="0.25">
      <c r="B150" s="2" t="s">
        <v>21</v>
      </c>
      <c r="C150" s="2">
        <v>200</v>
      </c>
      <c r="D150" s="2">
        <v>4</v>
      </c>
      <c r="E150" s="2" t="s">
        <v>17</v>
      </c>
    </row>
    <row r="151" spans="2:5" x14ac:dyDescent="0.25">
      <c r="B151" s="2" t="s">
        <v>23</v>
      </c>
      <c r="C151" s="2">
        <v>300</v>
      </c>
      <c r="D151" s="2">
        <v>1</v>
      </c>
      <c r="E151" s="2" t="s">
        <v>17</v>
      </c>
    </row>
    <row r="152" spans="2:5" x14ac:dyDescent="0.25">
      <c r="B152" s="2" t="s">
        <v>21</v>
      </c>
      <c r="C152" s="2">
        <v>60</v>
      </c>
      <c r="D152" s="2">
        <v>2</v>
      </c>
      <c r="E152" s="2" t="s">
        <v>17</v>
      </c>
    </row>
    <row r="153" spans="2:5" x14ac:dyDescent="0.25">
      <c r="B153" s="2" t="s">
        <v>21</v>
      </c>
      <c r="C153" s="2">
        <v>75</v>
      </c>
      <c r="D153" s="2">
        <v>3</v>
      </c>
      <c r="E153" s="2" t="s">
        <v>17</v>
      </c>
    </row>
    <row r="154" spans="2:5" x14ac:dyDescent="0.25">
      <c r="B154" s="2" t="s">
        <v>23</v>
      </c>
      <c r="C154" s="2">
        <v>120</v>
      </c>
      <c r="D154" s="2">
        <v>4</v>
      </c>
      <c r="E154" s="2" t="s">
        <v>20</v>
      </c>
    </row>
    <row r="155" spans="2:5" x14ac:dyDescent="0.25">
      <c r="B155" s="2" t="s">
        <v>21</v>
      </c>
      <c r="C155" s="2">
        <v>50</v>
      </c>
      <c r="D155" s="2">
        <v>1</v>
      </c>
      <c r="E155" s="2" t="s">
        <v>17</v>
      </c>
    </row>
    <row r="156" spans="2:5" x14ac:dyDescent="0.25">
      <c r="B156" s="2" t="s">
        <v>23</v>
      </c>
      <c r="C156" s="2">
        <v>2000</v>
      </c>
      <c r="D156" s="2">
        <v>4</v>
      </c>
      <c r="E156" s="2" t="s">
        <v>17</v>
      </c>
    </row>
    <row r="157" spans="2:5" x14ac:dyDescent="0.25">
      <c r="B157" s="2" t="s">
        <v>23</v>
      </c>
      <c r="C157" s="2">
        <v>1000</v>
      </c>
      <c r="D157" s="2">
        <v>2</v>
      </c>
      <c r="E157" s="2" t="s">
        <v>17</v>
      </c>
    </row>
    <row r="158" spans="2:5" x14ac:dyDescent="0.25">
      <c r="B158" s="2" t="s">
        <v>23</v>
      </c>
      <c r="C158" s="2">
        <v>900</v>
      </c>
      <c r="D158" s="2">
        <v>3</v>
      </c>
      <c r="E158" s="2" t="s">
        <v>17</v>
      </c>
    </row>
    <row r="159" spans="2:5" x14ac:dyDescent="0.25">
      <c r="B159" s="2" t="s">
        <v>23</v>
      </c>
      <c r="C159" s="2">
        <v>2000</v>
      </c>
      <c r="D159" s="2">
        <v>4</v>
      </c>
      <c r="E159" s="2" t="s">
        <v>17</v>
      </c>
    </row>
    <row r="160" spans="2:5" x14ac:dyDescent="0.25">
      <c r="B160" s="2" t="s">
        <v>21</v>
      </c>
      <c r="C160" s="2">
        <v>100</v>
      </c>
      <c r="D160" s="2">
        <v>4</v>
      </c>
      <c r="E160" s="2" t="s">
        <v>20</v>
      </c>
    </row>
    <row r="161" spans="2:5" x14ac:dyDescent="0.25">
      <c r="B161" s="2" t="s">
        <v>23</v>
      </c>
      <c r="C161" s="2">
        <v>2000</v>
      </c>
      <c r="D161" s="2">
        <v>4</v>
      </c>
      <c r="E161" s="2" t="s">
        <v>17</v>
      </c>
    </row>
    <row r="162" spans="2:5" x14ac:dyDescent="0.25">
      <c r="B162" s="2" t="s">
        <v>23</v>
      </c>
      <c r="C162" s="2">
        <v>600</v>
      </c>
      <c r="D162" s="2">
        <v>2</v>
      </c>
      <c r="E162" s="2" t="s">
        <v>20</v>
      </c>
    </row>
    <row r="163" spans="2:5" x14ac:dyDescent="0.25">
      <c r="B163" s="2" t="s">
        <v>21</v>
      </c>
      <c r="C163" s="2">
        <v>200</v>
      </c>
      <c r="D163" s="2">
        <v>4</v>
      </c>
      <c r="E163" s="2" t="s">
        <v>17</v>
      </c>
    </row>
    <row r="164" spans="2:5" x14ac:dyDescent="0.25">
      <c r="B164" s="2" t="s">
        <v>21</v>
      </c>
      <c r="C164" s="2">
        <v>100</v>
      </c>
      <c r="D164" s="2">
        <v>2</v>
      </c>
      <c r="E164" s="2" t="s">
        <v>20</v>
      </c>
    </row>
    <row r="165" spans="2:5" x14ac:dyDescent="0.25">
      <c r="B165" s="2" t="s">
        <v>18</v>
      </c>
      <c r="C165" s="2">
        <v>1000</v>
      </c>
      <c r="D165" s="2">
        <v>2</v>
      </c>
      <c r="E165" s="2" t="s">
        <v>17</v>
      </c>
    </row>
    <row r="166" spans="2:5" x14ac:dyDescent="0.25">
      <c r="B166" s="2" t="s">
        <v>21</v>
      </c>
      <c r="C166" s="2">
        <v>60</v>
      </c>
      <c r="D166" s="2">
        <v>2</v>
      </c>
      <c r="E166" s="2" t="s">
        <v>17</v>
      </c>
    </row>
    <row r="167" spans="2:5" x14ac:dyDescent="0.25">
      <c r="B167" s="2" t="s">
        <v>21</v>
      </c>
      <c r="C167" s="2">
        <v>150</v>
      </c>
      <c r="D167" s="2">
        <v>3</v>
      </c>
      <c r="E167" s="2" t="s">
        <v>20</v>
      </c>
    </row>
    <row r="168" spans="2:5" x14ac:dyDescent="0.25">
      <c r="B168" s="2" t="s">
        <v>18</v>
      </c>
      <c r="C168" s="2">
        <v>1500</v>
      </c>
      <c r="D168" s="2">
        <v>3</v>
      </c>
      <c r="E168" s="2" t="s">
        <v>20</v>
      </c>
    </row>
    <row r="169" spans="2:5" x14ac:dyDescent="0.25">
      <c r="B169" s="2" t="s">
        <v>21</v>
      </c>
      <c r="C169" s="2">
        <v>1200</v>
      </c>
      <c r="D169" s="2">
        <v>4</v>
      </c>
      <c r="E169" s="2" t="s">
        <v>20</v>
      </c>
    </row>
    <row r="170" spans="2:5" x14ac:dyDescent="0.25">
      <c r="B170" s="2" t="s">
        <v>21</v>
      </c>
      <c r="C170" s="2">
        <v>2000</v>
      </c>
      <c r="D170" s="2">
        <v>4</v>
      </c>
      <c r="E170" s="2" t="s">
        <v>17</v>
      </c>
    </row>
    <row r="171" spans="2:5" x14ac:dyDescent="0.25">
      <c r="B171" s="2" t="s">
        <v>21</v>
      </c>
      <c r="C171" s="2">
        <v>150</v>
      </c>
      <c r="D171" s="2">
        <v>3</v>
      </c>
      <c r="E171" s="2" t="s">
        <v>20</v>
      </c>
    </row>
    <row r="172" spans="2:5" x14ac:dyDescent="0.25">
      <c r="B172" s="2" t="s">
        <v>21</v>
      </c>
      <c r="C172" s="2">
        <v>300</v>
      </c>
      <c r="D172" s="2">
        <v>1</v>
      </c>
      <c r="E172" s="2" t="s">
        <v>17</v>
      </c>
    </row>
    <row r="173" spans="2:5" x14ac:dyDescent="0.25">
      <c r="B173" s="2" t="s">
        <v>18</v>
      </c>
      <c r="C173" s="2">
        <v>1500</v>
      </c>
      <c r="D173" s="2">
        <v>3</v>
      </c>
      <c r="E173" s="2" t="s">
        <v>17</v>
      </c>
    </row>
    <row r="174" spans="2:5" x14ac:dyDescent="0.25">
      <c r="B174" s="2" t="s">
        <v>21</v>
      </c>
      <c r="C174" s="2">
        <v>50</v>
      </c>
      <c r="D174" s="2">
        <v>2</v>
      </c>
      <c r="E174" s="2" t="s">
        <v>20</v>
      </c>
    </row>
    <row r="175" spans="2:5" x14ac:dyDescent="0.25">
      <c r="B175" s="2" t="s">
        <v>21</v>
      </c>
      <c r="C175" s="2">
        <v>900</v>
      </c>
      <c r="D175" s="2">
        <v>3</v>
      </c>
      <c r="E175" s="2" t="s">
        <v>20</v>
      </c>
    </row>
    <row r="176" spans="2:5" x14ac:dyDescent="0.25">
      <c r="B176" s="2" t="s">
        <v>18</v>
      </c>
      <c r="C176" s="2">
        <v>50</v>
      </c>
      <c r="D176" s="2">
        <v>2</v>
      </c>
      <c r="E176" s="2" t="s">
        <v>17</v>
      </c>
    </row>
    <row r="177" spans="2:5" x14ac:dyDescent="0.25">
      <c r="B177" s="2" t="s">
        <v>23</v>
      </c>
      <c r="C177" s="2">
        <v>120</v>
      </c>
      <c r="D177" s="2">
        <v>4</v>
      </c>
      <c r="E177" s="2" t="s">
        <v>17</v>
      </c>
    </row>
    <row r="178" spans="2:5" x14ac:dyDescent="0.25">
      <c r="B178" s="2" t="s">
        <v>18</v>
      </c>
      <c r="C178" s="2">
        <v>300</v>
      </c>
      <c r="D178" s="2">
        <v>1</v>
      </c>
      <c r="E178" s="2" t="s">
        <v>20</v>
      </c>
    </row>
    <row r="179" spans="2:5" x14ac:dyDescent="0.25">
      <c r="B179" s="2" t="s">
        <v>23</v>
      </c>
      <c r="C179" s="2">
        <v>100</v>
      </c>
      <c r="D179" s="2">
        <v>4</v>
      </c>
      <c r="E179" s="2" t="s">
        <v>20</v>
      </c>
    </row>
    <row r="180" spans="2:5" x14ac:dyDescent="0.25">
      <c r="B180" s="2" t="s">
        <v>18</v>
      </c>
      <c r="C180" s="2">
        <v>100</v>
      </c>
      <c r="D180" s="2">
        <v>2</v>
      </c>
      <c r="E180" s="2" t="s">
        <v>20</v>
      </c>
    </row>
    <row r="181" spans="2:5" x14ac:dyDescent="0.25">
      <c r="B181" s="2" t="s">
        <v>18</v>
      </c>
      <c r="C181" s="2">
        <v>100</v>
      </c>
      <c r="D181" s="2">
        <v>2</v>
      </c>
      <c r="E181" s="2" t="s">
        <v>17</v>
      </c>
    </row>
    <row r="182" spans="2:5" x14ac:dyDescent="0.25">
      <c r="B182" s="2" t="s">
        <v>21</v>
      </c>
      <c r="C182" s="2">
        <v>60</v>
      </c>
      <c r="D182" s="2">
        <v>2</v>
      </c>
      <c r="E182" s="2" t="s">
        <v>17</v>
      </c>
    </row>
    <row r="183" spans="2:5" x14ac:dyDescent="0.25">
      <c r="B183" s="2" t="s">
        <v>23</v>
      </c>
      <c r="C183" s="2">
        <v>300</v>
      </c>
      <c r="D183" s="2">
        <v>1</v>
      </c>
      <c r="E183" s="2" t="s">
        <v>17</v>
      </c>
    </row>
    <row r="184" spans="2:5" x14ac:dyDescent="0.25">
      <c r="B184" s="2" t="s">
        <v>21</v>
      </c>
      <c r="C184" s="2">
        <v>900</v>
      </c>
      <c r="D184" s="2">
        <v>3</v>
      </c>
      <c r="E184" s="2" t="s">
        <v>17</v>
      </c>
    </row>
    <row r="185" spans="2:5" x14ac:dyDescent="0.25">
      <c r="B185" s="2" t="s">
        <v>23</v>
      </c>
      <c r="C185" s="2">
        <v>1200</v>
      </c>
      <c r="D185" s="2">
        <v>4</v>
      </c>
      <c r="E185" s="2" t="s">
        <v>17</v>
      </c>
    </row>
    <row r="186" spans="2:5" x14ac:dyDescent="0.25">
      <c r="B186" s="2" t="s">
        <v>18</v>
      </c>
      <c r="C186" s="2">
        <v>120</v>
      </c>
      <c r="D186" s="2">
        <v>4</v>
      </c>
      <c r="E186" s="2" t="s">
        <v>17</v>
      </c>
    </row>
    <row r="187" spans="2:5" x14ac:dyDescent="0.25">
      <c r="B187" s="2" t="s">
        <v>18</v>
      </c>
      <c r="C187" s="2">
        <v>900</v>
      </c>
      <c r="D187" s="2">
        <v>3</v>
      </c>
      <c r="E187" s="2" t="s">
        <v>20</v>
      </c>
    </row>
    <row r="188" spans="2:5" x14ac:dyDescent="0.25">
      <c r="B188" s="2" t="s">
        <v>23</v>
      </c>
      <c r="C188" s="2">
        <v>200</v>
      </c>
      <c r="D188" s="2">
        <v>4</v>
      </c>
      <c r="E188" s="2" t="s">
        <v>17</v>
      </c>
    </row>
    <row r="189" spans="2:5" x14ac:dyDescent="0.25">
      <c r="B189" s="2" t="s">
        <v>21</v>
      </c>
      <c r="C189" s="2">
        <v>25</v>
      </c>
      <c r="D189" s="2">
        <v>1</v>
      </c>
      <c r="E189" s="2" t="s">
        <v>17</v>
      </c>
    </row>
    <row r="190" spans="2:5" x14ac:dyDescent="0.25">
      <c r="B190" s="2" t="s">
        <v>21</v>
      </c>
      <c r="C190" s="2">
        <v>200</v>
      </c>
      <c r="D190" s="2">
        <v>4</v>
      </c>
      <c r="E190" s="2" t="s">
        <v>17</v>
      </c>
    </row>
    <row r="191" spans="2:5" x14ac:dyDescent="0.25">
      <c r="B191" s="2" t="s">
        <v>21</v>
      </c>
      <c r="C191" s="2">
        <v>100</v>
      </c>
      <c r="D191" s="2">
        <v>2</v>
      </c>
      <c r="E191" s="2" t="s">
        <v>20</v>
      </c>
    </row>
    <row r="192" spans="2:5" x14ac:dyDescent="0.25">
      <c r="B192" s="2" t="s">
        <v>21</v>
      </c>
      <c r="C192" s="2">
        <v>75</v>
      </c>
      <c r="D192" s="2">
        <v>3</v>
      </c>
      <c r="E192" s="2" t="s">
        <v>17</v>
      </c>
    </row>
    <row r="193" spans="2:5" x14ac:dyDescent="0.25">
      <c r="B193" s="2" t="s">
        <v>18</v>
      </c>
      <c r="C193" s="2">
        <v>50</v>
      </c>
      <c r="D193" s="2">
        <v>1</v>
      </c>
      <c r="E193" s="2" t="s">
        <v>17</v>
      </c>
    </row>
    <row r="194" spans="2:5" x14ac:dyDescent="0.25">
      <c r="B194" s="2" t="s">
        <v>18</v>
      </c>
      <c r="C194" s="2">
        <v>90</v>
      </c>
      <c r="D194" s="2">
        <v>3</v>
      </c>
      <c r="E194" s="2" t="s">
        <v>20</v>
      </c>
    </row>
    <row r="195" spans="2:5" x14ac:dyDescent="0.25">
      <c r="B195" s="2" t="s">
        <v>18</v>
      </c>
      <c r="C195" s="2">
        <v>25</v>
      </c>
      <c r="D195" s="2">
        <v>1</v>
      </c>
      <c r="E195" s="2" t="s">
        <v>17</v>
      </c>
    </row>
    <row r="196" spans="2:5" x14ac:dyDescent="0.25">
      <c r="B196" s="2" t="s">
        <v>18</v>
      </c>
      <c r="C196" s="2">
        <v>100</v>
      </c>
      <c r="D196" s="2">
        <v>2</v>
      </c>
      <c r="E196" s="2" t="s">
        <v>17</v>
      </c>
    </row>
    <row r="197" spans="2:5" x14ac:dyDescent="0.25">
      <c r="B197" s="2" t="s">
        <v>18</v>
      </c>
      <c r="C197" s="2">
        <v>1500</v>
      </c>
      <c r="D197" s="2">
        <v>3</v>
      </c>
      <c r="E197" s="2" t="s">
        <v>17</v>
      </c>
    </row>
    <row r="198" spans="2:5" x14ac:dyDescent="0.25">
      <c r="B198" s="2" t="s">
        <v>21</v>
      </c>
      <c r="C198" s="2">
        <v>200</v>
      </c>
      <c r="D198" s="2">
        <v>4</v>
      </c>
      <c r="E198" s="2" t="s">
        <v>17</v>
      </c>
    </row>
    <row r="199" spans="2:5" x14ac:dyDescent="0.25">
      <c r="B199" s="2" t="s">
        <v>21</v>
      </c>
      <c r="C199" s="2">
        <v>30</v>
      </c>
      <c r="D199" s="2">
        <v>1</v>
      </c>
      <c r="E199" s="2" t="s">
        <v>17</v>
      </c>
    </row>
    <row r="200" spans="2:5" x14ac:dyDescent="0.25">
      <c r="B200" s="2" t="s">
        <v>21</v>
      </c>
      <c r="C200" s="2">
        <v>900</v>
      </c>
      <c r="D200" s="2">
        <v>3</v>
      </c>
      <c r="E200" s="2" t="s">
        <v>20</v>
      </c>
    </row>
    <row r="201" spans="2:5" x14ac:dyDescent="0.25">
      <c r="B201" s="2" t="s">
        <v>21</v>
      </c>
      <c r="C201" s="2">
        <v>200</v>
      </c>
      <c r="D201" s="2">
        <v>4</v>
      </c>
      <c r="E201" s="2" t="s">
        <v>20</v>
      </c>
    </row>
    <row r="202" spans="2:5" x14ac:dyDescent="0.25">
      <c r="B202" s="2" t="s">
        <v>18</v>
      </c>
      <c r="C202" s="2">
        <v>900</v>
      </c>
      <c r="D202" s="2">
        <v>3</v>
      </c>
      <c r="E202" s="2" t="s">
        <v>20</v>
      </c>
    </row>
    <row r="203" spans="2:5" x14ac:dyDescent="0.25">
      <c r="B203" s="2" t="s">
        <v>18</v>
      </c>
      <c r="C203" s="2">
        <v>1500</v>
      </c>
      <c r="D203" s="2">
        <v>3</v>
      </c>
      <c r="E203" s="2" t="s">
        <v>17</v>
      </c>
    </row>
    <row r="204" spans="2:5" x14ac:dyDescent="0.25">
      <c r="B204" s="2" t="s">
        <v>18</v>
      </c>
      <c r="C204" s="2">
        <v>150</v>
      </c>
      <c r="D204" s="2">
        <v>3</v>
      </c>
      <c r="E204" s="2" t="s">
        <v>17</v>
      </c>
    </row>
    <row r="205" spans="2:5" x14ac:dyDescent="0.25">
      <c r="B205" s="2" t="s">
        <v>23</v>
      </c>
      <c r="C205" s="2">
        <v>25</v>
      </c>
      <c r="D205" s="2">
        <v>1</v>
      </c>
      <c r="E205" s="2" t="s">
        <v>17</v>
      </c>
    </row>
    <row r="206" spans="2:5" x14ac:dyDescent="0.25">
      <c r="B206" s="2" t="s">
        <v>21</v>
      </c>
      <c r="C206" s="2">
        <v>1200</v>
      </c>
      <c r="D206" s="2">
        <v>4</v>
      </c>
      <c r="E206" s="2" t="s">
        <v>20</v>
      </c>
    </row>
    <row r="207" spans="2:5" x14ac:dyDescent="0.25">
      <c r="B207" s="2" t="s">
        <v>21</v>
      </c>
      <c r="C207" s="2">
        <v>1000</v>
      </c>
      <c r="D207" s="2">
        <v>2</v>
      </c>
      <c r="E207" s="2" t="s">
        <v>17</v>
      </c>
    </row>
    <row r="208" spans="2:5" x14ac:dyDescent="0.25">
      <c r="B208" s="2" t="s">
        <v>18</v>
      </c>
      <c r="C208" s="2">
        <v>25</v>
      </c>
      <c r="D208" s="2">
        <v>1</v>
      </c>
      <c r="E208" s="2" t="s">
        <v>17</v>
      </c>
    </row>
    <row r="209" spans="2:5" x14ac:dyDescent="0.25">
      <c r="B209" s="2" t="s">
        <v>21</v>
      </c>
      <c r="C209" s="2">
        <v>25</v>
      </c>
      <c r="D209" s="2">
        <v>1</v>
      </c>
      <c r="E209" s="2" t="s">
        <v>20</v>
      </c>
    </row>
    <row r="210" spans="2:5" x14ac:dyDescent="0.25">
      <c r="B210" s="2" t="s">
        <v>21</v>
      </c>
      <c r="C210" s="2">
        <v>25</v>
      </c>
      <c r="D210" s="2">
        <v>1</v>
      </c>
      <c r="E210" s="2" t="s">
        <v>17</v>
      </c>
    </row>
    <row r="211" spans="2:5" x14ac:dyDescent="0.25">
      <c r="B211" s="2" t="s">
        <v>18</v>
      </c>
      <c r="C211" s="2">
        <v>50</v>
      </c>
      <c r="D211" s="2">
        <v>2</v>
      </c>
      <c r="E211" s="2" t="s">
        <v>20</v>
      </c>
    </row>
    <row r="212" spans="2:5" x14ac:dyDescent="0.25">
      <c r="B212" s="2" t="s">
        <v>23</v>
      </c>
      <c r="C212" s="2">
        <v>200</v>
      </c>
      <c r="D212" s="2">
        <v>4</v>
      </c>
      <c r="E212" s="2" t="s">
        <v>20</v>
      </c>
    </row>
    <row r="213" spans="2:5" x14ac:dyDescent="0.25">
      <c r="B213" s="2" t="s">
        <v>23</v>
      </c>
      <c r="C213" s="2">
        <v>200</v>
      </c>
      <c r="D213" s="2">
        <v>4</v>
      </c>
      <c r="E213" s="2" t="s">
        <v>20</v>
      </c>
    </row>
    <row r="214" spans="2:5" x14ac:dyDescent="0.25">
      <c r="B214" s="2" t="s">
        <v>23</v>
      </c>
      <c r="C214" s="2">
        <v>200</v>
      </c>
      <c r="D214" s="2">
        <v>4</v>
      </c>
      <c r="E214" s="2" t="s">
        <v>17</v>
      </c>
    </row>
    <row r="215" spans="2:5" x14ac:dyDescent="0.25">
      <c r="B215" s="2" t="s">
        <v>18</v>
      </c>
      <c r="C215" s="2">
        <v>1500</v>
      </c>
      <c r="D215" s="2">
        <v>3</v>
      </c>
      <c r="E215" s="2" t="s">
        <v>17</v>
      </c>
    </row>
    <row r="216" spans="2:5" x14ac:dyDescent="0.25">
      <c r="B216" s="2" t="s">
        <v>21</v>
      </c>
      <c r="C216" s="2">
        <v>1500</v>
      </c>
      <c r="D216" s="2">
        <v>3</v>
      </c>
      <c r="E216" s="2" t="s">
        <v>17</v>
      </c>
    </row>
    <row r="217" spans="2:5" x14ac:dyDescent="0.25">
      <c r="B217" s="2" t="s">
        <v>18</v>
      </c>
      <c r="C217" s="2">
        <v>1500</v>
      </c>
      <c r="D217" s="2">
        <v>3</v>
      </c>
      <c r="E217" s="2" t="s">
        <v>17</v>
      </c>
    </row>
    <row r="218" spans="2:5" x14ac:dyDescent="0.25">
      <c r="B218" s="2" t="s">
        <v>18</v>
      </c>
      <c r="C218" s="2">
        <v>60</v>
      </c>
      <c r="D218" s="2">
        <v>2</v>
      </c>
      <c r="E218" s="2" t="s">
        <v>17</v>
      </c>
    </row>
    <row r="219" spans="2:5" x14ac:dyDescent="0.25">
      <c r="B219" s="2" t="s">
        <v>21</v>
      </c>
      <c r="C219" s="2">
        <v>1500</v>
      </c>
      <c r="D219" s="2">
        <v>3</v>
      </c>
      <c r="E219" s="2" t="s">
        <v>17</v>
      </c>
    </row>
    <row r="220" spans="2:5" x14ac:dyDescent="0.25">
      <c r="B220" s="2" t="s">
        <v>23</v>
      </c>
      <c r="C220" s="2">
        <v>100</v>
      </c>
      <c r="D220" s="2">
        <v>2</v>
      </c>
      <c r="E220" s="2" t="s">
        <v>17</v>
      </c>
    </row>
    <row r="221" spans="2:5" x14ac:dyDescent="0.25">
      <c r="B221" s="2" t="s">
        <v>23</v>
      </c>
      <c r="C221" s="2">
        <v>200</v>
      </c>
      <c r="D221" s="2">
        <v>4</v>
      </c>
      <c r="E221" s="2" t="s">
        <v>20</v>
      </c>
    </row>
    <row r="222" spans="2:5" x14ac:dyDescent="0.25">
      <c r="B222" s="2" t="s">
        <v>18</v>
      </c>
      <c r="C222" s="2">
        <v>90</v>
      </c>
      <c r="D222" s="2">
        <v>3</v>
      </c>
      <c r="E222" s="2" t="s">
        <v>17</v>
      </c>
    </row>
    <row r="223" spans="2:5" x14ac:dyDescent="0.25">
      <c r="B223" s="2" t="s">
        <v>23</v>
      </c>
      <c r="C223" s="2">
        <v>90</v>
      </c>
      <c r="D223" s="2">
        <v>3</v>
      </c>
      <c r="E223" s="2" t="s">
        <v>20</v>
      </c>
    </row>
    <row r="224" spans="2:5" x14ac:dyDescent="0.25">
      <c r="B224" s="2" t="s">
        <v>18</v>
      </c>
      <c r="C224" s="2">
        <v>500</v>
      </c>
      <c r="D224" s="2">
        <v>1</v>
      </c>
      <c r="E224" s="2" t="s">
        <v>17</v>
      </c>
    </row>
    <row r="225" spans="2:5" x14ac:dyDescent="0.25">
      <c r="B225" s="2" t="s">
        <v>18</v>
      </c>
      <c r="C225" s="2">
        <v>600</v>
      </c>
      <c r="D225" s="2">
        <v>2</v>
      </c>
      <c r="E225" s="2" t="s">
        <v>17</v>
      </c>
    </row>
    <row r="226" spans="2:5" x14ac:dyDescent="0.25">
      <c r="B226" s="2" t="s">
        <v>21</v>
      </c>
      <c r="C226" s="2">
        <v>120</v>
      </c>
      <c r="D226" s="2">
        <v>4</v>
      </c>
      <c r="E226" s="2" t="s">
        <v>17</v>
      </c>
    </row>
    <row r="227" spans="2:5" x14ac:dyDescent="0.25">
      <c r="B227" s="2" t="s">
        <v>21</v>
      </c>
      <c r="C227" s="2">
        <v>25</v>
      </c>
      <c r="D227" s="2">
        <v>1</v>
      </c>
      <c r="E227" s="2" t="s">
        <v>20</v>
      </c>
    </row>
    <row r="228" spans="2:5" x14ac:dyDescent="0.25">
      <c r="B228" s="2" t="s">
        <v>21</v>
      </c>
      <c r="C228" s="2">
        <v>50</v>
      </c>
      <c r="D228" s="2">
        <v>1</v>
      </c>
      <c r="E228" s="2" t="s">
        <v>20</v>
      </c>
    </row>
    <row r="229" spans="2:5" x14ac:dyDescent="0.25">
      <c r="B229" s="2" t="s">
        <v>18</v>
      </c>
      <c r="C229" s="2">
        <v>100</v>
      </c>
      <c r="D229" s="2">
        <v>4</v>
      </c>
      <c r="E229" s="2" t="s">
        <v>20</v>
      </c>
    </row>
    <row r="230" spans="2:5" x14ac:dyDescent="0.25">
      <c r="B230" s="2" t="s">
        <v>21</v>
      </c>
      <c r="C230" s="2">
        <v>50</v>
      </c>
      <c r="D230" s="2">
        <v>1</v>
      </c>
      <c r="E230" s="2" t="s">
        <v>20</v>
      </c>
    </row>
    <row r="231" spans="2:5" x14ac:dyDescent="0.25">
      <c r="B231" s="2" t="s">
        <v>23</v>
      </c>
      <c r="C231" s="2">
        <v>100</v>
      </c>
      <c r="D231" s="2">
        <v>2</v>
      </c>
      <c r="E231" s="2" t="s">
        <v>17</v>
      </c>
    </row>
    <row r="232" spans="2:5" x14ac:dyDescent="0.25">
      <c r="B232" s="2" t="s">
        <v>23</v>
      </c>
      <c r="C232" s="2">
        <v>60</v>
      </c>
      <c r="D232" s="2">
        <v>2</v>
      </c>
      <c r="E232" s="2" t="s">
        <v>20</v>
      </c>
    </row>
    <row r="233" spans="2:5" x14ac:dyDescent="0.25">
      <c r="B233" s="2" t="s">
        <v>18</v>
      </c>
      <c r="C233" s="2">
        <v>90</v>
      </c>
      <c r="D233" s="2">
        <v>3</v>
      </c>
      <c r="E233" s="2" t="s">
        <v>17</v>
      </c>
    </row>
    <row r="234" spans="2:5" x14ac:dyDescent="0.25">
      <c r="B234" s="2" t="s">
        <v>18</v>
      </c>
      <c r="C234" s="2">
        <v>25</v>
      </c>
      <c r="D234" s="2">
        <v>1</v>
      </c>
      <c r="E234" s="2" t="s">
        <v>17</v>
      </c>
    </row>
    <row r="235" spans="2:5" x14ac:dyDescent="0.25">
      <c r="B235" s="2" t="s">
        <v>21</v>
      </c>
      <c r="C235" s="2">
        <v>150</v>
      </c>
      <c r="D235" s="2">
        <v>3</v>
      </c>
      <c r="E235" s="2" t="s">
        <v>20</v>
      </c>
    </row>
    <row r="236" spans="2:5" x14ac:dyDescent="0.25">
      <c r="B236" s="2" t="s">
        <v>18</v>
      </c>
      <c r="C236" s="2">
        <v>25</v>
      </c>
      <c r="D236" s="2">
        <v>1</v>
      </c>
      <c r="E236" s="2" t="s">
        <v>20</v>
      </c>
    </row>
    <row r="237" spans="2:5" x14ac:dyDescent="0.25">
      <c r="B237" s="2" t="s">
        <v>18</v>
      </c>
      <c r="C237" s="2">
        <v>600</v>
      </c>
      <c r="D237" s="2">
        <v>2</v>
      </c>
      <c r="E237" s="2" t="s">
        <v>20</v>
      </c>
    </row>
    <row r="238" spans="2:5" x14ac:dyDescent="0.25">
      <c r="B238" s="2" t="s">
        <v>23</v>
      </c>
      <c r="C238" s="2">
        <v>50</v>
      </c>
      <c r="D238" s="2">
        <v>2</v>
      </c>
      <c r="E238" s="2" t="s">
        <v>20</v>
      </c>
    </row>
    <row r="239" spans="2:5" x14ac:dyDescent="0.25">
      <c r="B239" s="2" t="s">
        <v>23</v>
      </c>
      <c r="C239" s="2">
        <v>1000</v>
      </c>
      <c r="D239" s="2">
        <v>2</v>
      </c>
      <c r="E239" s="2" t="s">
        <v>20</v>
      </c>
    </row>
    <row r="240" spans="2:5" x14ac:dyDescent="0.25">
      <c r="B240" s="2" t="s">
        <v>21</v>
      </c>
      <c r="C240" s="2">
        <v>25</v>
      </c>
      <c r="D240" s="2">
        <v>1</v>
      </c>
      <c r="E240" s="2" t="s">
        <v>20</v>
      </c>
    </row>
    <row r="241" spans="2:5" x14ac:dyDescent="0.25">
      <c r="B241" s="2" t="s">
        <v>18</v>
      </c>
      <c r="C241" s="2">
        <v>1000</v>
      </c>
      <c r="D241" s="2">
        <v>2</v>
      </c>
      <c r="E241" s="2" t="s">
        <v>20</v>
      </c>
    </row>
    <row r="242" spans="2:5" x14ac:dyDescent="0.25">
      <c r="B242" s="2" t="s">
        <v>18</v>
      </c>
      <c r="C242" s="2">
        <v>500</v>
      </c>
      <c r="D242" s="2">
        <v>1</v>
      </c>
      <c r="E242" s="2" t="s">
        <v>20</v>
      </c>
    </row>
    <row r="243" spans="2:5" x14ac:dyDescent="0.25">
      <c r="B243" s="2" t="s">
        <v>23</v>
      </c>
      <c r="C243" s="2">
        <v>1500</v>
      </c>
      <c r="D243" s="2">
        <v>3</v>
      </c>
      <c r="E243" s="2" t="s">
        <v>17</v>
      </c>
    </row>
    <row r="244" spans="2:5" x14ac:dyDescent="0.25">
      <c r="B244" s="2" t="s">
        <v>18</v>
      </c>
      <c r="C244" s="2">
        <v>300</v>
      </c>
      <c r="D244" s="2">
        <v>1</v>
      </c>
      <c r="E244" s="2" t="s">
        <v>20</v>
      </c>
    </row>
    <row r="245" spans="2:5" x14ac:dyDescent="0.25">
      <c r="B245" s="2" t="s">
        <v>23</v>
      </c>
      <c r="C245" s="2">
        <v>75</v>
      </c>
      <c r="D245" s="2">
        <v>3</v>
      </c>
      <c r="E245" s="2" t="s">
        <v>20</v>
      </c>
    </row>
    <row r="246" spans="2:5" x14ac:dyDescent="0.25">
      <c r="B246" s="2" t="s">
        <v>21</v>
      </c>
      <c r="C246" s="2">
        <v>25</v>
      </c>
      <c r="D246" s="2">
        <v>1</v>
      </c>
      <c r="E246" s="2" t="s">
        <v>17</v>
      </c>
    </row>
    <row r="247" spans="2:5" x14ac:dyDescent="0.25">
      <c r="B247" s="2" t="s">
        <v>23</v>
      </c>
      <c r="C247" s="2">
        <v>900</v>
      </c>
      <c r="D247" s="2">
        <v>3</v>
      </c>
      <c r="E247" s="2" t="s">
        <v>20</v>
      </c>
    </row>
    <row r="248" spans="2:5" x14ac:dyDescent="0.25">
      <c r="B248" s="2" t="s">
        <v>18</v>
      </c>
      <c r="C248" s="2">
        <v>100</v>
      </c>
      <c r="D248" s="2">
        <v>2</v>
      </c>
      <c r="E248" s="2" t="s">
        <v>17</v>
      </c>
    </row>
    <row r="249" spans="2:5" x14ac:dyDescent="0.25">
      <c r="B249" s="2" t="s">
        <v>21</v>
      </c>
      <c r="C249" s="2">
        <v>90</v>
      </c>
      <c r="D249" s="2">
        <v>3</v>
      </c>
      <c r="E249" s="2" t="s">
        <v>17</v>
      </c>
    </row>
    <row r="250" spans="2:5" x14ac:dyDescent="0.25">
      <c r="B250" s="2" t="s">
        <v>23</v>
      </c>
      <c r="C250" s="2">
        <v>50</v>
      </c>
      <c r="D250" s="2">
        <v>2</v>
      </c>
      <c r="E250" s="2" t="s">
        <v>20</v>
      </c>
    </row>
    <row r="251" spans="2:5" x14ac:dyDescent="0.25">
      <c r="B251" s="2" t="s">
        <v>23</v>
      </c>
      <c r="C251" s="2">
        <v>60</v>
      </c>
      <c r="D251" s="2">
        <v>2</v>
      </c>
      <c r="E251" s="2" t="s">
        <v>17</v>
      </c>
    </row>
    <row r="252" spans="2:5" x14ac:dyDescent="0.25">
      <c r="B252" s="2" t="s">
        <v>21</v>
      </c>
      <c r="C252" s="2">
        <v>900</v>
      </c>
      <c r="D252" s="2">
        <v>3</v>
      </c>
      <c r="E252" s="2" t="s">
        <v>17</v>
      </c>
    </row>
    <row r="253" spans="2:5" x14ac:dyDescent="0.25">
      <c r="B253" s="2" t="s">
        <v>21</v>
      </c>
      <c r="C253" s="2">
        <v>50</v>
      </c>
      <c r="D253" s="2">
        <v>1</v>
      </c>
      <c r="E253" s="2" t="s">
        <v>17</v>
      </c>
    </row>
    <row r="254" spans="2:5" x14ac:dyDescent="0.25">
      <c r="B254" s="2" t="s">
        <v>23</v>
      </c>
      <c r="C254" s="2">
        <v>50</v>
      </c>
      <c r="D254" s="2">
        <v>1</v>
      </c>
      <c r="E254" s="2" t="s">
        <v>17</v>
      </c>
    </row>
    <row r="255" spans="2:5" x14ac:dyDescent="0.25">
      <c r="B255" s="2" t="s">
        <v>18</v>
      </c>
      <c r="C255" s="2">
        <v>200</v>
      </c>
      <c r="D255" s="2">
        <v>4</v>
      </c>
      <c r="E255" s="2" t="s">
        <v>20</v>
      </c>
    </row>
    <row r="256" spans="2:5" x14ac:dyDescent="0.25">
      <c r="B256" s="2" t="s">
        <v>23</v>
      </c>
      <c r="C256" s="2">
        <v>300</v>
      </c>
      <c r="D256" s="2">
        <v>1</v>
      </c>
      <c r="E256" s="2" t="s">
        <v>17</v>
      </c>
    </row>
    <row r="257" spans="2:5" x14ac:dyDescent="0.25">
      <c r="B257" s="2" t="s">
        <v>21</v>
      </c>
      <c r="C257" s="2">
        <v>2000</v>
      </c>
      <c r="D257" s="2">
        <v>4</v>
      </c>
      <c r="E257" s="2" t="s">
        <v>20</v>
      </c>
    </row>
    <row r="258" spans="2:5" x14ac:dyDescent="0.25">
      <c r="B258" s="2" t="s">
        <v>23</v>
      </c>
      <c r="C258" s="2">
        <v>500</v>
      </c>
      <c r="D258" s="2">
        <v>1</v>
      </c>
      <c r="E258" s="2" t="s">
        <v>17</v>
      </c>
    </row>
    <row r="259" spans="2:5" x14ac:dyDescent="0.25">
      <c r="B259" s="2" t="s">
        <v>21</v>
      </c>
      <c r="C259" s="2">
        <v>30</v>
      </c>
      <c r="D259" s="2">
        <v>1</v>
      </c>
      <c r="E259" s="2" t="s">
        <v>17</v>
      </c>
    </row>
    <row r="260" spans="2:5" x14ac:dyDescent="0.25">
      <c r="B260" s="2" t="s">
        <v>21</v>
      </c>
      <c r="C260" s="2">
        <v>1000</v>
      </c>
      <c r="D260" s="2">
        <v>2</v>
      </c>
      <c r="E260" s="2" t="s">
        <v>17</v>
      </c>
    </row>
    <row r="261" spans="2:5" x14ac:dyDescent="0.25">
      <c r="B261" s="2" t="s">
        <v>18</v>
      </c>
      <c r="C261" s="2">
        <v>2000</v>
      </c>
      <c r="D261" s="2">
        <v>4</v>
      </c>
      <c r="E261" s="2" t="s">
        <v>17</v>
      </c>
    </row>
    <row r="262" spans="2:5" x14ac:dyDescent="0.25">
      <c r="B262" s="2" t="s">
        <v>21</v>
      </c>
      <c r="C262" s="2">
        <v>50</v>
      </c>
      <c r="D262" s="2">
        <v>1</v>
      </c>
      <c r="E262" s="2" t="s">
        <v>20</v>
      </c>
    </row>
    <row r="263" spans="2:5" x14ac:dyDescent="0.25">
      <c r="B263" s="2" t="s">
        <v>21</v>
      </c>
      <c r="C263" s="2">
        <v>200</v>
      </c>
      <c r="D263" s="2">
        <v>4</v>
      </c>
      <c r="E263" s="2" t="s">
        <v>20</v>
      </c>
    </row>
    <row r="264" spans="2:5" x14ac:dyDescent="0.25">
      <c r="B264" s="2" t="s">
        <v>18</v>
      </c>
      <c r="C264" s="2">
        <v>60</v>
      </c>
      <c r="D264" s="2">
        <v>2</v>
      </c>
      <c r="E264" s="2" t="s">
        <v>17</v>
      </c>
    </row>
    <row r="265" spans="2:5" x14ac:dyDescent="0.25">
      <c r="B265" s="2" t="s">
        <v>21</v>
      </c>
      <c r="C265" s="2">
        <v>50</v>
      </c>
      <c r="D265" s="2">
        <v>2</v>
      </c>
      <c r="E265" s="2" t="s">
        <v>17</v>
      </c>
    </row>
    <row r="266" spans="2:5" x14ac:dyDescent="0.25">
      <c r="B266" s="2" t="s">
        <v>18</v>
      </c>
      <c r="C266" s="2">
        <v>120</v>
      </c>
      <c r="D266" s="2">
        <v>4</v>
      </c>
      <c r="E266" s="2" t="s">
        <v>20</v>
      </c>
    </row>
    <row r="267" spans="2:5" x14ac:dyDescent="0.25">
      <c r="B267" s="2" t="s">
        <v>18</v>
      </c>
      <c r="C267" s="2">
        <v>60</v>
      </c>
      <c r="D267" s="2">
        <v>2</v>
      </c>
      <c r="E267" s="2" t="s">
        <v>17</v>
      </c>
    </row>
    <row r="268" spans="2:5" x14ac:dyDescent="0.25">
      <c r="B268" s="2" t="s">
        <v>21</v>
      </c>
      <c r="C268" s="2">
        <v>900</v>
      </c>
      <c r="D268" s="2">
        <v>3</v>
      </c>
      <c r="E268" s="2" t="s">
        <v>17</v>
      </c>
    </row>
    <row r="269" spans="2:5" x14ac:dyDescent="0.25">
      <c r="B269" s="2" t="s">
        <v>21</v>
      </c>
      <c r="C269" s="2">
        <v>900</v>
      </c>
      <c r="D269" s="2">
        <v>3</v>
      </c>
      <c r="E269" s="2" t="s">
        <v>17</v>
      </c>
    </row>
    <row r="270" spans="2:5" x14ac:dyDescent="0.25">
      <c r="B270" s="2" t="s">
        <v>23</v>
      </c>
      <c r="C270" s="2">
        <v>60</v>
      </c>
      <c r="D270" s="2">
        <v>2</v>
      </c>
      <c r="E270" s="2" t="s">
        <v>20</v>
      </c>
    </row>
    <row r="271" spans="2:5" x14ac:dyDescent="0.25">
      <c r="B271" s="2" t="s">
        <v>18</v>
      </c>
      <c r="C271" s="2">
        <v>90</v>
      </c>
      <c r="D271" s="2">
        <v>3</v>
      </c>
      <c r="E271" s="2" t="s">
        <v>20</v>
      </c>
    </row>
    <row r="272" spans="2:5" x14ac:dyDescent="0.25">
      <c r="B272" s="2" t="s">
        <v>23</v>
      </c>
      <c r="C272" s="2">
        <v>30</v>
      </c>
      <c r="D272" s="2">
        <v>1</v>
      </c>
      <c r="E272" s="2" t="s">
        <v>20</v>
      </c>
    </row>
    <row r="273" spans="2:5" x14ac:dyDescent="0.25">
      <c r="B273" s="2" t="s">
        <v>21</v>
      </c>
      <c r="C273" s="2">
        <v>2000</v>
      </c>
      <c r="D273" s="2">
        <v>4</v>
      </c>
      <c r="E273" s="2" t="s">
        <v>17</v>
      </c>
    </row>
    <row r="274" spans="2:5" x14ac:dyDescent="0.25">
      <c r="B274" s="2" t="s">
        <v>23</v>
      </c>
      <c r="C274" s="2">
        <v>300</v>
      </c>
      <c r="D274" s="2">
        <v>1</v>
      </c>
      <c r="E274" s="2" t="s">
        <v>17</v>
      </c>
    </row>
    <row r="275" spans="2:5" x14ac:dyDescent="0.25">
      <c r="B275" s="2" t="s">
        <v>18</v>
      </c>
      <c r="C275" s="2">
        <v>120</v>
      </c>
      <c r="D275" s="2">
        <v>4</v>
      </c>
      <c r="E275" s="2" t="s">
        <v>20</v>
      </c>
    </row>
    <row r="276" spans="2:5" x14ac:dyDescent="0.25">
      <c r="B276" s="2" t="s">
        <v>23</v>
      </c>
      <c r="C276" s="2">
        <v>100</v>
      </c>
      <c r="D276" s="2">
        <v>2</v>
      </c>
      <c r="E276" s="2" t="s">
        <v>20</v>
      </c>
    </row>
    <row r="277" spans="2:5" x14ac:dyDescent="0.25">
      <c r="B277" s="2" t="s">
        <v>18</v>
      </c>
      <c r="C277" s="2">
        <v>50</v>
      </c>
      <c r="D277" s="2">
        <v>1</v>
      </c>
      <c r="E277" s="2" t="s">
        <v>20</v>
      </c>
    </row>
    <row r="278" spans="2:5" x14ac:dyDescent="0.25">
      <c r="B278" s="2" t="s">
        <v>21</v>
      </c>
      <c r="C278" s="2">
        <v>1000</v>
      </c>
      <c r="D278" s="2">
        <v>2</v>
      </c>
      <c r="E278" s="2" t="s">
        <v>20</v>
      </c>
    </row>
    <row r="279" spans="2:5" x14ac:dyDescent="0.25">
      <c r="B279" s="2" t="s">
        <v>21</v>
      </c>
      <c r="C279" s="2">
        <v>1000</v>
      </c>
      <c r="D279" s="2">
        <v>2</v>
      </c>
      <c r="E279" s="2" t="s">
        <v>17</v>
      </c>
    </row>
    <row r="280" spans="2:5" x14ac:dyDescent="0.25">
      <c r="B280" s="2" t="s">
        <v>18</v>
      </c>
      <c r="C280" s="2">
        <v>100</v>
      </c>
      <c r="D280" s="2">
        <v>4</v>
      </c>
      <c r="E280" s="2" t="s">
        <v>20</v>
      </c>
    </row>
    <row r="281" spans="2:5" x14ac:dyDescent="0.25">
      <c r="B281" s="2" t="s">
        <v>21</v>
      </c>
      <c r="C281" s="2">
        <v>100</v>
      </c>
      <c r="D281" s="2">
        <v>4</v>
      </c>
      <c r="E281" s="2" t="s">
        <v>17</v>
      </c>
    </row>
    <row r="282" spans="2:5" x14ac:dyDescent="0.25">
      <c r="B282" s="2" t="s">
        <v>21</v>
      </c>
      <c r="C282" s="2">
        <v>100</v>
      </c>
      <c r="D282" s="2">
        <v>4</v>
      </c>
      <c r="E282" s="2" t="s">
        <v>20</v>
      </c>
    </row>
    <row r="283" spans="2:5" x14ac:dyDescent="0.25">
      <c r="B283" s="2" t="s">
        <v>21</v>
      </c>
      <c r="C283" s="2">
        <v>500</v>
      </c>
      <c r="D283" s="2">
        <v>1</v>
      </c>
      <c r="E283" s="2" t="s">
        <v>17</v>
      </c>
    </row>
    <row r="284" spans="2:5" x14ac:dyDescent="0.25">
      <c r="B284" s="2" t="s">
        <v>21</v>
      </c>
      <c r="C284" s="2">
        <v>1500</v>
      </c>
      <c r="D284" s="2">
        <v>3</v>
      </c>
      <c r="E284" s="2" t="s">
        <v>20</v>
      </c>
    </row>
    <row r="285" spans="2:5" x14ac:dyDescent="0.25">
      <c r="B285" s="2" t="s">
        <v>18</v>
      </c>
      <c r="C285" s="2">
        <v>2000</v>
      </c>
      <c r="D285" s="2">
        <v>4</v>
      </c>
      <c r="E285" s="2" t="s">
        <v>20</v>
      </c>
    </row>
    <row r="286" spans="2:5" x14ac:dyDescent="0.25">
      <c r="B286" s="2" t="s">
        <v>23</v>
      </c>
      <c r="C286" s="2">
        <v>200</v>
      </c>
      <c r="D286" s="2">
        <v>4</v>
      </c>
      <c r="E286" s="2" t="s">
        <v>20</v>
      </c>
    </row>
    <row r="287" spans="2:5" x14ac:dyDescent="0.25">
      <c r="B287" s="2" t="s">
        <v>23</v>
      </c>
      <c r="C287" s="2">
        <v>500</v>
      </c>
      <c r="D287" s="2">
        <v>1</v>
      </c>
      <c r="E287" s="2" t="s">
        <v>20</v>
      </c>
    </row>
    <row r="288" spans="2:5" x14ac:dyDescent="0.25">
      <c r="B288" s="2" t="s">
        <v>21</v>
      </c>
      <c r="C288" s="2">
        <v>200</v>
      </c>
      <c r="D288" s="2">
        <v>4</v>
      </c>
      <c r="E288" s="2" t="s">
        <v>17</v>
      </c>
    </row>
    <row r="289" spans="2:5" x14ac:dyDescent="0.25">
      <c r="B289" s="2" t="s">
        <v>23</v>
      </c>
      <c r="C289" s="2">
        <v>25</v>
      </c>
      <c r="D289" s="2">
        <v>1</v>
      </c>
      <c r="E289" s="2" t="s">
        <v>20</v>
      </c>
    </row>
    <row r="290" spans="2:5" x14ac:dyDescent="0.25">
      <c r="B290" s="2" t="s">
        <v>23</v>
      </c>
      <c r="C290" s="2">
        <v>50</v>
      </c>
      <c r="D290" s="2">
        <v>2</v>
      </c>
      <c r="E290" s="2" t="s">
        <v>17</v>
      </c>
    </row>
    <row r="291" spans="2:5" x14ac:dyDescent="0.25">
      <c r="B291" s="2" t="s">
        <v>21</v>
      </c>
      <c r="C291" s="2">
        <v>100</v>
      </c>
      <c r="D291" s="2">
        <v>4</v>
      </c>
      <c r="E291" s="2" t="s">
        <v>17</v>
      </c>
    </row>
    <row r="292" spans="2:5" x14ac:dyDescent="0.25">
      <c r="B292" s="2" t="s">
        <v>21</v>
      </c>
      <c r="C292" s="2">
        <v>120</v>
      </c>
      <c r="D292" s="2">
        <v>4</v>
      </c>
      <c r="E292" s="2" t="s">
        <v>17</v>
      </c>
    </row>
    <row r="293" spans="2:5" x14ac:dyDescent="0.25">
      <c r="B293" s="2" t="s">
        <v>23</v>
      </c>
      <c r="C293" s="2">
        <v>60</v>
      </c>
      <c r="D293" s="2">
        <v>2</v>
      </c>
      <c r="E293" s="2" t="s">
        <v>17</v>
      </c>
    </row>
    <row r="294" spans="2:5" x14ac:dyDescent="0.25">
      <c r="B294" s="2" t="s">
        <v>18</v>
      </c>
      <c r="C294" s="2">
        <v>600</v>
      </c>
      <c r="D294" s="2">
        <v>2</v>
      </c>
      <c r="E294" s="2" t="s">
        <v>20</v>
      </c>
    </row>
    <row r="295" spans="2:5" x14ac:dyDescent="0.25">
      <c r="B295" s="2" t="s">
        <v>21</v>
      </c>
      <c r="C295" s="2">
        <v>600</v>
      </c>
      <c r="D295" s="2">
        <v>2</v>
      </c>
      <c r="E295" s="2" t="s">
        <v>17</v>
      </c>
    </row>
    <row r="296" spans="2:5" x14ac:dyDescent="0.25">
      <c r="B296" s="2" t="s">
        <v>18</v>
      </c>
      <c r="C296" s="2">
        <v>1200</v>
      </c>
      <c r="D296" s="2">
        <v>4</v>
      </c>
      <c r="E296" s="2" t="s">
        <v>17</v>
      </c>
    </row>
    <row r="297" spans="2:5" x14ac:dyDescent="0.25">
      <c r="B297" s="2" t="s">
        <v>23</v>
      </c>
      <c r="C297" s="2">
        <v>90</v>
      </c>
      <c r="D297" s="2">
        <v>3</v>
      </c>
      <c r="E297" s="2" t="s">
        <v>17</v>
      </c>
    </row>
    <row r="298" spans="2:5" x14ac:dyDescent="0.25">
      <c r="B298" s="2" t="s">
        <v>21</v>
      </c>
      <c r="C298" s="2">
        <v>90</v>
      </c>
      <c r="D298" s="2">
        <v>3</v>
      </c>
      <c r="E298" s="2" t="s">
        <v>20</v>
      </c>
    </row>
    <row r="299" spans="2:5" x14ac:dyDescent="0.25">
      <c r="B299" s="2" t="s">
        <v>18</v>
      </c>
      <c r="C299" s="2">
        <v>900</v>
      </c>
      <c r="D299" s="2">
        <v>3</v>
      </c>
      <c r="E299" s="2" t="s">
        <v>20</v>
      </c>
    </row>
    <row r="300" spans="2:5" x14ac:dyDescent="0.25">
      <c r="B300" s="2" t="s">
        <v>21</v>
      </c>
      <c r="C300" s="2">
        <v>1200</v>
      </c>
      <c r="D300" s="2">
        <v>4</v>
      </c>
      <c r="E300" s="2" t="s">
        <v>20</v>
      </c>
    </row>
    <row r="301" spans="2:5" x14ac:dyDescent="0.25">
      <c r="B301" s="2" t="s">
        <v>23</v>
      </c>
      <c r="C301" s="2">
        <v>1000</v>
      </c>
      <c r="D301" s="2">
        <v>2</v>
      </c>
      <c r="E301" s="2" t="s">
        <v>20</v>
      </c>
    </row>
    <row r="302" spans="2:5" x14ac:dyDescent="0.25">
      <c r="B302" s="2" t="s">
        <v>18</v>
      </c>
      <c r="C302" s="2">
        <v>1200</v>
      </c>
      <c r="D302" s="2">
        <v>4</v>
      </c>
      <c r="E302" s="2" t="s">
        <v>17</v>
      </c>
    </row>
    <row r="303" spans="2:5" x14ac:dyDescent="0.25">
      <c r="B303" s="2" t="s">
        <v>23</v>
      </c>
      <c r="C303" s="2">
        <v>1000</v>
      </c>
      <c r="D303" s="2">
        <v>2</v>
      </c>
      <c r="E303" s="2" t="s">
        <v>17</v>
      </c>
    </row>
    <row r="304" spans="2:5" x14ac:dyDescent="0.25">
      <c r="B304" s="2" t="s">
        <v>23</v>
      </c>
      <c r="C304" s="2">
        <v>200</v>
      </c>
      <c r="D304" s="2">
        <v>4</v>
      </c>
      <c r="E304" s="2" t="s">
        <v>20</v>
      </c>
    </row>
    <row r="305" spans="2:5" x14ac:dyDescent="0.25">
      <c r="B305" s="2" t="s">
        <v>21</v>
      </c>
      <c r="C305" s="2">
        <v>120</v>
      </c>
      <c r="D305" s="2">
        <v>4</v>
      </c>
      <c r="E305" s="2" t="s">
        <v>17</v>
      </c>
    </row>
    <row r="306" spans="2:5" x14ac:dyDescent="0.25">
      <c r="B306" s="2" t="s">
        <v>18</v>
      </c>
      <c r="C306" s="2">
        <v>600</v>
      </c>
      <c r="D306" s="2">
        <v>2</v>
      </c>
      <c r="E306" s="2" t="s">
        <v>17</v>
      </c>
    </row>
    <row r="307" spans="2:5" x14ac:dyDescent="0.25">
      <c r="B307" s="2" t="s">
        <v>23</v>
      </c>
      <c r="C307" s="2">
        <v>90</v>
      </c>
      <c r="D307" s="2">
        <v>3</v>
      </c>
      <c r="E307" s="2" t="s">
        <v>17</v>
      </c>
    </row>
    <row r="308" spans="2:5" x14ac:dyDescent="0.25">
      <c r="B308" s="2" t="s">
        <v>23</v>
      </c>
      <c r="C308" s="2">
        <v>60</v>
      </c>
      <c r="D308" s="2">
        <v>2</v>
      </c>
      <c r="E308" s="2" t="s">
        <v>20</v>
      </c>
    </row>
    <row r="309" spans="2:5" x14ac:dyDescent="0.25">
      <c r="B309" s="2" t="s">
        <v>18</v>
      </c>
      <c r="C309" s="2">
        <v>30</v>
      </c>
      <c r="D309" s="2">
        <v>1</v>
      </c>
      <c r="E309" s="2" t="s">
        <v>20</v>
      </c>
    </row>
    <row r="310" spans="2:5" x14ac:dyDescent="0.25">
      <c r="B310" s="2" t="s">
        <v>23</v>
      </c>
      <c r="C310" s="2">
        <v>50</v>
      </c>
      <c r="D310" s="2">
        <v>1</v>
      </c>
      <c r="E310" s="2" t="s">
        <v>17</v>
      </c>
    </row>
    <row r="311" spans="2:5" x14ac:dyDescent="0.25">
      <c r="B311" s="2" t="s">
        <v>23</v>
      </c>
      <c r="C311" s="2">
        <v>50</v>
      </c>
      <c r="D311" s="2">
        <v>2</v>
      </c>
      <c r="E311" s="2" t="s">
        <v>20</v>
      </c>
    </row>
    <row r="312" spans="2:5" x14ac:dyDescent="0.25">
      <c r="B312" s="2" t="s">
        <v>18</v>
      </c>
      <c r="C312" s="2">
        <v>1200</v>
      </c>
      <c r="D312" s="2">
        <v>4</v>
      </c>
      <c r="E312" s="2" t="s">
        <v>20</v>
      </c>
    </row>
    <row r="313" spans="2:5" x14ac:dyDescent="0.25">
      <c r="B313" s="2" t="s">
        <v>18</v>
      </c>
      <c r="C313" s="2">
        <v>25</v>
      </c>
      <c r="D313" s="2">
        <v>1</v>
      </c>
      <c r="E313" s="2" t="s">
        <v>20</v>
      </c>
    </row>
    <row r="314" spans="2:5" x14ac:dyDescent="0.25">
      <c r="B314" s="2" t="s">
        <v>18</v>
      </c>
      <c r="C314" s="2">
        <v>25</v>
      </c>
      <c r="D314" s="2">
        <v>1</v>
      </c>
      <c r="E314" s="2" t="s">
        <v>20</v>
      </c>
    </row>
    <row r="315" spans="2:5" x14ac:dyDescent="0.25">
      <c r="B315" s="2" t="s">
        <v>18</v>
      </c>
      <c r="C315" s="2">
        <v>100</v>
      </c>
      <c r="D315" s="2">
        <v>4</v>
      </c>
      <c r="E315" s="2" t="s">
        <v>20</v>
      </c>
    </row>
    <row r="316" spans="2:5" x14ac:dyDescent="0.25">
      <c r="B316" s="2" t="s">
        <v>21</v>
      </c>
      <c r="C316" s="2">
        <v>120</v>
      </c>
      <c r="D316" s="2">
        <v>4</v>
      </c>
      <c r="E316" s="2" t="s">
        <v>17</v>
      </c>
    </row>
    <row r="317" spans="2:5" x14ac:dyDescent="0.25">
      <c r="B317" s="2" t="s">
        <v>18</v>
      </c>
      <c r="C317" s="2">
        <v>1500</v>
      </c>
      <c r="D317" s="2">
        <v>3</v>
      </c>
      <c r="E317" s="2" t="s">
        <v>20</v>
      </c>
    </row>
    <row r="318" spans="2:5" x14ac:dyDescent="0.25">
      <c r="B318" s="2" t="s">
        <v>21</v>
      </c>
      <c r="C318" s="2">
        <v>120</v>
      </c>
      <c r="D318" s="2">
        <v>4</v>
      </c>
      <c r="E318" s="2" t="s">
        <v>17</v>
      </c>
    </row>
    <row r="319" spans="2:5" x14ac:dyDescent="0.25">
      <c r="B319" s="2" t="s">
        <v>21</v>
      </c>
      <c r="C319" s="2">
        <v>60</v>
      </c>
      <c r="D319" s="2">
        <v>2</v>
      </c>
      <c r="E319" s="2" t="s">
        <v>17</v>
      </c>
    </row>
    <row r="320" spans="2:5" x14ac:dyDescent="0.25">
      <c r="B320" s="2" t="s">
        <v>21</v>
      </c>
      <c r="C320" s="2">
        <v>50</v>
      </c>
      <c r="D320" s="2">
        <v>2</v>
      </c>
      <c r="E320" s="2" t="s">
        <v>20</v>
      </c>
    </row>
    <row r="321" spans="2:5" x14ac:dyDescent="0.25">
      <c r="B321" s="2" t="s">
        <v>23</v>
      </c>
      <c r="C321" s="2">
        <v>90</v>
      </c>
      <c r="D321" s="2">
        <v>3</v>
      </c>
      <c r="E321" s="2" t="s">
        <v>17</v>
      </c>
    </row>
    <row r="322" spans="2:5" x14ac:dyDescent="0.25">
      <c r="B322" s="2" t="s">
        <v>21</v>
      </c>
      <c r="C322" s="2">
        <v>25</v>
      </c>
      <c r="D322" s="2">
        <v>1</v>
      </c>
      <c r="E322" s="2" t="s">
        <v>17</v>
      </c>
    </row>
    <row r="323" spans="2:5" x14ac:dyDescent="0.25">
      <c r="B323" s="2" t="s">
        <v>21</v>
      </c>
      <c r="C323" s="2">
        <v>500</v>
      </c>
      <c r="D323" s="2">
        <v>1</v>
      </c>
      <c r="E323" s="2" t="s">
        <v>17</v>
      </c>
    </row>
    <row r="324" spans="2:5" x14ac:dyDescent="0.25">
      <c r="B324" s="2" t="s">
        <v>23</v>
      </c>
      <c r="C324" s="2">
        <v>1200</v>
      </c>
      <c r="D324" s="2">
        <v>4</v>
      </c>
      <c r="E324" s="2" t="s">
        <v>20</v>
      </c>
    </row>
    <row r="325" spans="2:5" x14ac:dyDescent="0.25">
      <c r="B325" s="2" t="s">
        <v>23</v>
      </c>
      <c r="C325" s="2">
        <v>50</v>
      </c>
      <c r="D325" s="2">
        <v>2</v>
      </c>
      <c r="E325" s="2" t="s">
        <v>20</v>
      </c>
    </row>
    <row r="326" spans="2:5" x14ac:dyDescent="0.25">
      <c r="B326" s="2" t="s">
        <v>23</v>
      </c>
      <c r="C326" s="2">
        <v>500</v>
      </c>
      <c r="D326" s="2">
        <v>1</v>
      </c>
      <c r="E326" s="2" t="s">
        <v>17</v>
      </c>
    </row>
    <row r="327" spans="2:5" x14ac:dyDescent="0.25">
      <c r="B327" s="2" t="s">
        <v>18</v>
      </c>
      <c r="C327" s="2">
        <v>900</v>
      </c>
      <c r="D327" s="2">
        <v>3</v>
      </c>
      <c r="E327" s="2" t="s">
        <v>20</v>
      </c>
    </row>
    <row r="328" spans="2:5" x14ac:dyDescent="0.25">
      <c r="B328" s="2" t="s">
        <v>23</v>
      </c>
      <c r="C328" s="2">
        <v>150</v>
      </c>
      <c r="D328" s="2">
        <v>3</v>
      </c>
      <c r="E328" s="2" t="s">
        <v>20</v>
      </c>
    </row>
    <row r="329" spans="2:5" x14ac:dyDescent="0.25">
      <c r="B329" s="2" t="s">
        <v>23</v>
      </c>
      <c r="C329" s="2">
        <v>50</v>
      </c>
      <c r="D329" s="2">
        <v>2</v>
      </c>
      <c r="E329" s="2" t="s">
        <v>20</v>
      </c>
    </row>
    <row r="330" spans="2:5" x14ac:dyDescent="0.25">
      <c r="B330" s="2" t="s">
        <v>21</v>
      </c>
      <c r="C330" s="2">
        <v>75</v>
      </c>
      <c r="D330" s="2">
        <v>3</v>
      </c>
      <c r="E330" s="2" t="s">
        <v>20</v>
      </c>
    </row>
    <row r="331" spans="2:5" x14ac:dyDescent="0.25">
      <c r="B331" s="2" t="s">
        <v>23</v>
      </c>
      <c r="C331" s="2">
        <v>150</v>
      </c>
      <c r="D331" s="2">
        <v>3</v>
      </c>
      <c r="E331" s="2" t="s">
        <v>17</v>
      </c>
    </row>
    <row r="332" spans="2:5" x14ac:dyDescent="0.25">
      <c r="B332" s="2" t="s">
        <v>18</v>
      </c>
      <c r="C332" s="2">
        <v>100</v>
      </c>
      <c r="D332" s="2">
        <v>2</v>
      </c>
      <c r="E332" s="2" t="s">
        <v>17</v>
      </c>
    </row>
    <row r="333" spans="2:5" x14ac:dyDescent="0.25">
      <c r="B333" s="2" t="s">
        <v>23</v>
      </c>
      <c r="C333" s="2">
        <v>100</v>
      </c>
      <c r="D333" s="2">
        <v>4</v>
      </c>
      <c r="E333" s="2" t="s">
        <v>20</v>
      </c>
    </row>
    <row r="334" spans="2:5" x14ac:dyDescent="0.25">
      <c r="B334" s="2" t="s">
        <v>18</v>
      </c>
      <c r="C334" s="2">
        <v>200</v>
      </c>
      <c r="D334" s="2">
        <v>4</v>
      </c>
      <c r="E334" s="2" t="s">
        <v>20</v>
      </c>
    </row>
    <row r="335" spans="2:5" x14ac:dyDescent="0.25">
      <c r="B335" s="2" t="s">
        <v>23</v>
      </c>
      <c r="C335" s="2">
        <v>90</v>
      </c>
      <c r="D335" s="2">
        <v>3</v>
      </c>
      <c r="E335" s="2" t="s">
        <v>17</v>
      </c>
    </row>
    <row r="336" spans="2:5" x14ac:dyDescent="0.25">
      <c r="B336" s="2" t="s">
        <v>23</v>
      </c>
      <c r="C336" s="2">
        <v>1200</v>
      </c>
      <c r="D336" s="2">
        <v>4</v>
      </c>
      <c r="E336" s="2" t="s">
        <v>17</v>
      </c>
    </row>
    <row r="337" spans="2:5" x14ac:dyDescent="0.25">
      <c r="B337" s="2" t="s">
        <v>23</v>
      </c>
      <c r="C337" s="2">
        <v>1200</v>
      </c>
      <c r="D337" s="2">
        <v>4</v>
      </c>
      <c r="E337" s="2" t="s">
        <v>20</v>
      </c>
    </row>
    <row r="338" spans="2:5" x14ac:dyDescent="0.25">
      <c r="B338" s="2" t="s">
        <v>23</v>
      </c>
      <c r="C338" s="2">
        <v>900</v>
      </c>
      <c r="D338" s="2">
        <v>3</v>
      </c>
      <c r="E338" s="2" t="s">
        <v>17</v>
      </c>
    </row>
    <row r="339" spans="2:5" x14ac:dyDescent="0.25">
      <c r="B339" s="2" t="s">
        <v>18</v>
      </c>
      <c r="C339" s="2">
        <v>120</v>
      </c>
      <c r="D339" s="2">
        <v>4</v>
      </c>
      <c r="E339" s="2" t="s">
        <v>20</v>
      </c>
    </row>
    <row r="340" spans="2:5" x14ac:dyDescent="0.25">
      <c r="B340" s="2" t="s">
        <v>18</v>
      </c>
      <c r="C340" s="2">
        <v>150</v>
      </c>
      <c r="D340" s="2">
        <v>3</v>
      </c>
      <c r="E340" s="2" t="s">
        <v>20</v>
      </c>
    </row>
    <row r="341" spans="2:5" x14ac:dyDescent="0.25">
      <c r="B341" s="2" t="s">
        <v>21</v>
      </c>
      <c r="C341" s="2">
        <v>500</v>
      </c>
      <c r="D341" s="2">
        <v>1</v>
      </c>
      <c r="E341" s="2" t="s">
        <v>17</v>
      </c>
    </row>
    <row r="342" spans="2:5" x14ac:dyDescent="0.25">
      <c r="B342" s="2" t="s">
        <v>18</v>
      </c>
      <c r="C342" s="2">
        <v>100</v>
      </c>
      <c r="D342" s="2">
        <v>2</v>
      </c>
      <c r="E342" s="2" t="s">
        <v>17</v>
      </c>
    </row>
    <row r="343" spans="2:5" x14ac:dyDescent="0.25">
      <c r="B343" s="2" t="s">
        <v>23</v>
      </c>
      <c r="C343" s="2">
        <v>50</v>
      </c>
      <c r="D343" s="2">
        <v>2</v>
      </c>
      <c r="E343" s="2" t="s">
        <v>20</v>
      </c>
    </row>
    <row r="344" spans="2:5" x14ac:dyDescent="0.25">
      <c r="B344" s="2" t="s">
        <v>21</v>
      </c>
      <c r="C344" s="2">
        <v>1200</v>
      </c>
      <c r="D344" s="2">
        <v>4</v>
      </c>
      <c r="E344" s="2" t="s">
        <v>20</v>
      </c>
    </row>
    <row r="345" spans="2:5" x14ac:dyDescent="0.25">
      <c r="B345" s="2" t="s">
        <v>21</v>
      </c>
      <c r="C345" s="2">
        <v>200</v>
      </c>
      <c r="D345" s="2">
        <v>4</v>
      </c>
      <c r="E345" s="2" t="s">
        <v>17</v>
      </c>
    </row>
    <row r="346" spans="2:5" x14ac:dyDescent="0.25">
      <c r="B346" s="2" t="s">
        <v>21</v>
      </c>
      <c r="C346" s="2">
        <v>2000</v>
      </c>
      <c r="D346" s="2">
        <v>4</v>
      </c>
      <c r="E346" s="2" t="s">
        <v>20</v>
      </c>
    </row>
    <row r="347" spans="2:5" x14ac:dyDescent="0.25">
      <c r="B347" s="2" t="s">
        <v>23</v>
      </c>
      <c r="C347" s="2">
        <v>50</v>
      </c>
      <c r="D347" s="2">
        <v>2</v>
      </c>
      <c r="E347" s="2" t="s">
        <v>17</v>
      </c>
    </row>
    <row r="348" spans="2:5" x14ac:dyDescent="0.25">
      <c r="B348" s="2" t="s">
        <v>18</v>
      </c>
      <c r="C348" s="2">
        <v>30</v>
      </c>
      <c r="D348" s="2">
        <v>1</v>
      </c>
      <c r="E348" s="2" t="s">
        <v>20</v>
      </c>
    </row>
    <row r="349" spans="2:5" x14ac:dyDescent="0.25">
      <c r="B349" s="2" t="s">
        <v>23</v>
      </c>
      <c r="C349" s="2">
        <v>30</v>
      </c>
      <c r="D349" s="2">
        <v>1</v>
      </c>
      <c r="E349" s="2" t="s">
        <v>17</v>
      </c>
    </row>
    <row r="350" spans="2:5" x14ac:dyDescent="0.25">
      <c r="B350" s="2" t="s">
        <v>21</v>
      </c>
      <c r="C350" s="2">
        <v>1000</v>
      </c>
      <c r="D350" s="2">
        <v>2</v>
      </c>
      <c r="E350" s="2" t="s">
        <v>17</v>
      </c>
    </row>
    <row r="351" spans="2:5" x14ac:dyDescent="0.25">
      <c r="B351" s="2" t="s">
        <v>23</v>
      </c>
      <c r="C351" s="2">
        <v>25</v>
      </c>
      <c r="D351" s="2">
        <v>1</v>
      </c>
      <c r="E351" s="2" t="s">
        <v>17</v>
      </c>
    </row>
    <row r="352" spans="2:5" x14ac:dyDescent="0.25">
      <c r="B352" s="2" t="s">
        <v>23</v>
      </c>
      <c r="C352" s="2">
        <v>600</v>
      </c>
      <c r="D352" s="2">
        <v>2</v>
      </c>
      <c r="E352" s="2" t="s">
        <v>20</v>
      </c>
    </row>
    <row r="353" spans="2:5" x14ac:dyDescent="0.25">
      <c r="B353" s="2" t="s">
        <v>18</v>
      </c>
      <c r="C353" s="2">
        <v>50</v>
      </c>
      <c r="D353" s="2">
        <v>1</v>
      </c>
      <c r="E353" s="2" t="s">
        <v>20</v>
      </c>
    </row>
    <row r="354" spans="2:5" x14ac:dyDescent="0.25">
      <c r="B354" s="2" t="s">
        <v>18</v>
      </c>
      <c r="C354" s="2">
        <v>75</v>
      </c>
      <c r="D354" s="2">
        <v>3</v>
      </c>
      <c r="E354" s="2" t="s">
        <v>17</v>
      </c>
    </row>
    <row r="355" spans="2:5" x14ac:dyDescent="0.25">
      <c r="B355" s="2" t="s">
        <v>21</v>
      </c>
      <c r="C355" s="2">
        <v>90</v>
      </c>
      <c r="D355" s="2">
        <v>3</v>
      </c>
      <c r="E355" s="2" t="s">
        <v>20</v>
      </c>
    </row>
    <row r="356" spans="2:5" x14ac:dyDescent="0.25">
      <c r="B356" s="2" t="s">
        <v>23</v>
      </c>
      <c r="C356" s="2">
        <v>1000</v>
      </c>
      <c r="D356" s="2">
        <v>2</v>
      </c>
      <c r="E356" s="2" t="s">
        <v>17</v>
      </c>
    </row>
    <row r="357" spans="2:5" x14ac:dyDescent="0.25">
      <c r="B357" s="2" t="s">
        <v>23</v>
      </c>
      <c r="C357" s="2">
        <v>500</v>
      </c>
      <c r="D357" s="2">
        <v>1</v>
      </c>
      <c r="E357" s="2" t="s">
        <v>17</v>
      </c>
    </row>
    <row r="358" spans="2:5" x14ac:dyDescent="0.25">
      <c r="B358" s="2" t="s">
        <v>18</v>
      </c>
      <c r="C358" s="2">
        <v>200</v>
      </c>
      <c r="D358" s="2">
        <v>4</v>
      </c>
      <c r="E358" s="2" t="s">
        <v>20</v>
      </c>
    </row>
    <row r="359" spans="2:5" x14ac:dyDescent="0.25">
      <c r="B359" s="2" t="s">
        <v>23</v>
      </c>
      <c r="C359" s="2">
        <v>500</v>
      </c>
      <c r="D359" s="2">
        <v>1</v>
      </c>
      <c r="E359" s="2" t="s">
        <v>20</v>
      </c>
    </row>
    <row r="360" spans="2:5" x14ac:dyDescent="0.25">
      <c r="B360" s="2" t="s">
        <v>23</v>
      </c>
      <c r="C360" s="2">
        <v>1500</v>
      </c>
      <c r="D360" s="2">
        <v>3</v>
      </c>
      <c r="E360" s="2" t="s">
        <v>17</v>
      </c>
    </row>
    <row r="361" spans="2:5" x14ac:dyDescent="0.25">
      <c r="B361" s="2" t="s">
        <v>23</v>
      </c>
      <c r="C361" s="2">
        <v>75</v>
      </c>
      <c r="D361" s="2">
        <v>3</v>
      </c>
      <c r="E361" s="2" t="s">
        <v>20</v>
      </c>
    </row>
    <row r="362" spans="2:5" x14ac:dyDescent="0.25">
      <c r="B362" s="2" t="s">
        <v>18</v>
      </c>
      <c r="C362" s="2">
        <v>300</v>
      </c>
      <c r="D362" s="2">
        <v>1</v>
      </c>
      <c r="E362" s="2" t="s">
        <v>20</v>
      </c>
    </row>
    <row r="363" spans="2:5" x14ac:dyDescent="0.25">
      <c r="B363" s="2" t="s">
        <v>21</v>
      </c>
      <c r="C363" s="2">
        <v>50</v>
      </c>
      <c r="D363" s="2">
        <v>1</v>
      </c>
      <c r="E363" s="2" t="s">
        <v>17</v>
      </c>
    </row>
    <row r="364" spans="2:5" x14ac:dyDescent="0.25">
      <c r="B364" s="2" t="s">
        <v>21</v>
      </c>
      <c r="C364" s="2">
        <v>100</v>
      </c>
      <c r="D364" s="2">
        <v>4</v>
      </c>
      <c r="E364" s="2" t="s">
        <v>17</v>
      </c>
    </row>
    <row r="365" spans="2:5" x14ac:dyDescent="0.25">
      <c r="B365" s="2" t="s">
        <v>23</v>
      </c>
      <c r="C365" s="2">
        <v>1200</v>
      </c>
      <c r="D365" s="2">
        <v>4</v>
      </c>
      <c r="E365" s="2" t="s">
        <v>20</v>
      </c>
    </row>
    <row r="366" spans="2:5" x14ac:dyDescent="0.25">
      <c r="B366" s="2" t="s">
        <v>21</v>
      </c>
      <c r="C366" s="2">
        <v>25</v>
      </c>
      <c r="D366" s="2">
        <v>1</v>
      </c>
      <c r="E366" s="2" t="s">
        <v>17</v>
      </c>
    </row>
    <row r="367" spans="2:5" x14ac:dyDescent="0.25">
      <c r="B367" s="2" t="s">
        <v>18</v>
      </c>
      <c r="C367" s="2">
        <v>25</v>
      </c>
      <c r="D367" s="2">
        <v>1</v>
      </c>
      <c r="E367" s="2" t="s">
        <v>17</v>
      </c>
    </row>
    <row r="368" spans="2:5" x14ac:dyDescent="0.25">
      <c r="B368" s="2" t="s">
        <v>18</v>
      </c>
      <c r="C368" s="2">
        <v>500</v>
      </c>
      <c r="D368" s="2">
        <v>1</v>
      </c>
      <c r="E368" s="2" t="s">
        <v>20</v>
      </c>
    </row>
    <row r="369" spans="2:5" x14ac:dyDescent="0.25">
      <c r="B369" s="2" t="s">
        <v>21</v>
      </c>
      <c r="C369" s="2">
        <v>300</v>
      </c>
      <c r="D369" s="2">
        <v>1</v>
      </c>
      <c r="E369" s="2" t="s">
        <v>17</v>
      </c>
    </row>
    <row r="370" spans="2:5" x14ac:dyDescent="0.25">
      <c r="B370" s="2" t="s">
        <v>21</v>
      </c>
      <c r="C370" s="2">
        <v>100</v>
      </c>
      <c r="D370" s="2">
        <v>2</v>
      </c>
      <c r="E370" s="2" t="s">
        <v>17</v>
      </c>
    </row>
    <row r="371" spans="2:5" x14ac:dyDescent="0.25">
      <c r="B371" s="2" t="s">
        <v>23</v>
      </c>
      <c r="C371" s="2">
        <v>50</v>
      </c>
      <c r="D371" s="2">
        <v>1</v>
      </c>
      <c r="E371" s="2" t="s">
        <v>20</v>
      </c>
    </row>
    <row r="372" spans="2:5" x14ac:dyDescent="0.25">
      <c r="B372" s="2" t="s">
        <v>21</v>
      </c>
      <c r="C372" s="2">
        <v>1200</v>
      </c>
      <c r="D372" s="2">
        <v>4</v>
      </c>
      <c r="E372" s="2" t="s">
        <v>20</v>
      </c>
    </row>
    <row r="373" spans="2:5" x14ac:dyDescent="0.25">
      <c r="B373" s="2" t="s">
        <v>23</v>
      </c>
      <c r="C373" s="2">
        <v>1500</v>
      </c>
      <c r="D373" s="2">
        <v>3</v>
      </c>
      <c r="E373" s="2" t="s">
        <v>17</v>
      </c>
    </row>
    <row r="374" spans="2:5" x14ac:dyDescent="0.25">
      <c r="B374" s="2" t="s">
        <v>23</v>
      </c>
      <c r="C374" s="2">
        <v>60</v>
      </c>
      <c r="D374" s="2">
        <v>2</v>
      </c>
      <c r="E374" s="2" t="s">
        <v>17</v>
      </c>
    </row>
    <row r="375" spans="2:5" x14ac:dyDescent="0.25">
      <c r="B375" s="2" t="s">
        <v>18</v>
      </c>
      <c r="C375" s="2">
        <v>25</v>
      </c>
      <c r="D375" s="2">
        <v>1</v>
      </c>
      <c r="E375" s="2" t="s">
        <v>20</v>
      </c>
    </row>
    <row r="376" spans="2:5" x14ac:dyDescent="0.25">
      <c r="B376" s="2" t="s">
        <v>18</v>
      </c>
      <c r="C376" s="2">
        <v>1500</v>
      </c>
      <c r="D376" s="2">
        <v>3</v>
      </c>
      <c r="E376" s="2" t="s">
        <v>20</v>
      </c>
    </row>
    <row r="377" spans="2:5" x14ac:dyDescent="0.25">
      <c r="B377" s="2" t="s">
        <v>18</v>
      </c>
      <c r="C377" s="2">
        <v>600</v>
      </c>
      <c r="D377" s="2">
        <v>2</v>
      </c>
      <c r="E377" s="2" t="s">
        <v>20</v>
      </c>
    </row>
    <row r="378" spans="2:5" x14ac:dyDescent="0.25">
      <c r="B378" s="2" t="s">
        <v>18</v>
      </c>
      <c r="C378" s="2">
        <v>75</v>
      </c>
      <c r="D378" s="2">
        <v>3</v>
      </c>
      <c r="E378" s="2" t="s">
        <v>20</v>
      </c>
    </row>
    <row r="379" spans="2:5" x14ac:dyDescent="0.25">
      <c r="B379" s="2" t="s">
        <v>21</v>
      </c>
      <c r="C379" s="2">
        <v>50</v>
      </c>
      <c r="D379" s="2">
        <v>1</v>
      </c>
      <c r="E379" s="2" t="s">
        <v>17</v>
      </c>
    </row>
    <row r="380" spans="2:5" x14ac:dyDescent="0.25">
      <c r="B380" s="2" t="s">
        <v>18</v>
      </c>
      <c r="C380" s="2">
        <v>30</v>
      </c>
      <c r="D380" s="2">
        <v>1</v>
      </c>
      <c r="E380" s="2" t="s">
        <v>20</v>
      </c>
    </row>
    <row r="381" spans="2:5" x14ac:dyDescent="0.25">
      <c r="B381" s="2" t="s">
        <v>21</v>
      </c>
      <c r="C381" s="2">
        <v>200</v>
      </c>
      <c r="D381" s="2">
        <v>4</v>
      </c>
      <c r="E381" s="2" t="s">
        <v>20</v>
      </c>
    </row>
    <row r="382" spans="2:5" x14ac:dyDescent="0.25">
      <c r="B382" s="2" t="s">
        <v>18</v>
      </c>
      <c r="C382" s="2">
        <v>300</v>
      </c>
      <c r="D382" s="2">
        <v>1</v>
      </c>
      <c r="E382" s="2" t="s">
        <v>17</v>
      </c>
    </row>
    <row r="383" spans="2:5" x14ac:dyDescent="0.25">
      <c r="B383" s="2" t="s">
        <v>21</v>
      </c>
      <c r="C383" s="2">
        <v>25</v>
      </c>
      <c r="D383" s="2">
        <v>1</v>
      </c>
      <c r="E383" s="2" t="s">
        <v>20</v>
      </c>
    </row>
    <row r="384" spans="2:5" x14ac:dyDescent="0.25">
      <c r="B384" s="2" t="s">
        <v>23</v>
      </c>
      <c r="C384" s="2">
        <v>600</v>
      </c>
      <c r="D384" s="2">
        <v>2</v>
      </c>
      <c r="E384" s="2" t="s">
        <v>17</v>
      </c>
    </row>
    <row r="385" spans="2:5" x14ac:dyDescent="0.25">
      <c r="B385" s="2" t="s">
        <v>21</v>
      </c>
      <c r="C385" s="2">
        <v>100</v>
      </c>
      <c r="D385" s="2">
        <v>4</v>
      </c>
      <c r="E385" s="2" t="s">
        <v>20</v>
      </c>
    </row>
    <row r="386" spans="2:5" x14ac:dyDescent="0.25">
      <c r="B386" s="2" t="s">
        <v>21</v>
      </c>
      <c r="C386" s="2">
        <v>1000</v>
      </c>
      <c r="D386" s="2">
        <v>2</v>
      </c>
      <c r="E386" s="2" t="s">
        <v>20</v>
      </c>
    </row>
    <row r="387" spans="2:5" x14ac:dyDescent="0.25">
      <c r="B387" s="2" t="s">
        <v>18</v>
      </c>
      <c r="C387" s="2">
        <v>90</v>
      </c>
      <c r="D387" s="2">
        <v>3</v>
      </c>
      <c r="E387" s="2" t="s">
        <v>20</v>
      </c>
    </row>
    <row r="388" spans="2:5" x14ac:dyDescent="0.25">
      <c r="B388" s="2" t="s">
        <v>21</v>
      </c>
      <c r="C388" s="2">
        <v>500</v>
      </c>
      <c r="D388" s="2">
        <v>1</v>
      </c>
      <c r="E388" s="2" t="s">
        <v>17</v>
      </c>
    </row>
    <row r="389" spans="2:5" x14ac:dyDescent="0.25">
      <c r="B389" s="2" t="s">
        <v>23</v>
      </c>
      <c r="C389" s="2">
        <v>1500</v>
      </c>
      <c r="D389" s="2">
        <v>3</v>
      </c>
      <c r="E389" s="2" t="s">
        <v>17</v>
      </c>
    </row>
    <row r="390" spans="2:5" x14ac:dyDescent="0.25">
      <c r="B390" s="2" t="s">
        <v>23</v>
      </c>
      <c r="C390" s="2">
        <v>600</v>
      </c>
      <c r="D390" s="2">
        <v>2</v>
      </c>
      <c r="E390" s="2" t="s">
        <v>20</v>
      </c>
    </row>
    <row r="391" spans="2:5" x14ac:dyDescent="0.25">
      <c r="B391" s="2" t="s">
        <v>18</v>
      </c>
      <c r="C391" s="2">
        <v>30</v>
      </c>
      <c r="D391" s="2">
        <v>1</v>
      </c>
      <c r="E391" s="2" t="s">
        <v>17</v>
      </c>
    </row>
    <row r="392" spans="2:5" x14ac:dyDescent="0.25">
      <c r="B392" s="2" t="s">
        <v>23</v>
      </c>
      <c r="C392" s="2">
        <v>25</v>
      </c>
      <c r="D392" s="2">
        <v>1</v>
      </c>
      <c r="E392" s="2" t="s">
        <v>17</v>
      </c>
    </row>
    <row r="393" spans="2:5" x14ac:dyDescent="0.25">
      <c r="B393" s="2" t="s">
        <v>21</v>
      </c>
      <c r="C393" s="2">
        <v>50</v>
      </c>
      <c r="D393" s="2">
        <v>2</v>
      </c>
      <c r="E393" s="2" t="s">
        <v>17</v>
      </c>
    </row>
    <row r="394" spans="2:5" x14ac:dyDescent="0.25">
      <c r="B394" s="2" t="s">
        <v>23</v>
      </c>
      <c r="C394" s="2">
        <v>100</v>
      </c>
      <c r="D394" s="2">
        <v>2</v>
      </c>
      <c r="E394" s="2" t="s">
        <v>17</v>
      </c>
    </row>
    <row r="395" spans="2:5" x14ac:dyDescent="0.25">
      <c r="B395" s="2" t="s">
        <v>18</v>
      </c>
      <c r="C395" s="2">
        <v>50</v>
      </c>
      <c r="D395" s="2">
        <v>2</v>
      </c>
      <c r="E395" s="2" t="s">
        <v>17</v>
      </c>
    </row>
    <row r="396" spans="2:5" x14ac:dyDescent="0.25">
      <c r="B396" s="2" t="s">
        <v>21</v>
      </c>
      <c r="C396" s="2">
        <v>600</v>
      </c>
      <c r="D396" s="2">
        <v>2</v>
      </c>
      <c r="E396" s="2" t="s">
        <v>17</v>
      </c>
    </row>
    <row r="397" spans="2:5" x14ac:dyDescent="0.25">
      <c r="B397" s="2" t="s">
        <v>18</v>
      </c>
      <c r="C397" s="2">
        <v>1000</v>
      </c>
      <c r="D397" s="2">
        <v>2</v>
      </c>
      <c r="E397" s="2" t="s">
        <v>20</v>
      </c>
    </row>
    <row r="398" spans="2:5" x14ac:dyDescent="0.25">
      <c r="B398" s="2" t="s">
        <v>21</v>
      </c>
      <c r="C398" s="2">
        <v>500</v>
      </c>
      <c r="D398" s="2">
        <v>1</v>
      </c>
      <c r="E398" s="2" t="s">
        <v>20</v>
      </c>
    </row>
    <row r="399" spans="2:5" x14ac:dyDescent="0.25">
      <c r="B399" s="2" t="s">
        <v>23</v>
      </c>
      <c r="C399" s="2">
        <v>1000</v>
      </c>
      <c r="D399" s="2">
        <v>2</v>
      </c>
      <c r="E399" s="2" t="s">
        <v>17</v>
      </c>
    </row>
    <row r="400" spans="2:5" x14ac:dyDescent="0.25">
      <c r="B400" s="2" t="s">
        <v>18</v>
      </c>
      <c r="C400" s="2">
        <v>30</v>
      </c>
      <c r="D400" s="2">
        <v>1</v>
      </c>
      <c r="E400" s="2" t="s">
        <v>20</v>
      </c>
    </row>
    <row r="401" spans="2:5" x14ac:dyDescent="0.25">
      <c r="B401" s="2" t="s">
        <v>18</v>
      </c>
      <c r="C401" s="2">
        <v>25</v>
      </c>
      <c r="D401" s="2">
        <v>1</v>
      </c>
      <c r="E401" s="2" t="s">
        <v>20</v>
      </c>
    </row>
    <row r="402" spans="2:5" x14ac:dyDescent="0.25">
      <c r="B402" s="2" t="s">
        <v>21</v>
      </c>
      <c r="C402" s="2">
        <v>600</v>
      </c>
      <c r="D402" s="2">
        <v>2</v>
      </c>
      <c r="E402" s="2" t="s">
        <v>20</v>
      </c>
    </row>
    <row r="403" spans="2:5" x14ac:dyDescent="0.25">
      <c r="B403" s="2" t="s">
        <v>18</v>
      </c>
      <c r="C403" s="2">
        <v>60</v>
      </c>
      <c r="D403" s="2">
        <v>2</v>
      </c>
      <c r="E403" s="2" t="s">
        <v>20</v>
      </c>
    </row>
    <row r="404" spans="2:5" x14ac:dyDescent="0.25">
      <c r="B404" s="2" t="s">
        <v>21</v>
      </c>
      <c r="C404" s="2">
        <v>200</v>
      </c>
      <c r="D404" s="2">
        <v>4</v>
      </c>
      <c r="E404" s="2" t="s">
        <v>17</v>
      </c>
    </row>
    <row r="405" spans="2:5" x14ac:dyDescent="0.25">
      <c r="B405" s="2" t="s">
        <v>21</v>
      </c>
      <c r="C405" s="2">
        <v>300</v>
      </c>
      <c r="D405" s="2">
        <v>1</v>
      </c>
      <c r="E405" s="2" t="s">
        <v>20</v>
      </c>
    </row>
    <row r="406" spans="2:5" x14ac:dyDescent="0.25">
      <c r="B406" s="2" t="s">
        <v>21</v>
      </c>
      <c r="C406" s="2">
        <v>600</v>
      </c>
      <c r="D406" s="2">
        <v>2</v>
      </c>
      <c r="E406" s="2" t="s">
        <v>20</v>
      </c>
    </row>
    <row r="407" spans="2:5" x14ac:dyDescent="0.25">
      <c r="B407" s="2" t="s">
        <v>21</v>
      </c>
      <c r="C407" s="2">
        <v>600</v>
      </c>
      <c r="D407" s="2">
        <v>2</v>
      </c>
      <c r="E407" s="2" t="s">
        <v>17</v>
      </c>
    </row>
    <row r="408" spans="2:5" x14ac:dyDescent="0.25">
      <c r="B408" s="2" t="s">
        <v>23</v>
      </c>
      <c r="C408" s="2">
        <v>1000</v>
      </c>
      <c r="D408" s="2">
        <v>2</v>
      </c>
      <c r="E408" s="2" t="s">
        <v>17</v>
      </c>
    </row>
    <row r="409" spans="2:5" x14ac:dyDescent="0.25">
      <c r="B409" s="2" t="s">
        <v>21</v>
      </c>
      <c r="C409" s="2">
        <v>1200</v>
      </c>
      <c r="D409" s="2">
        <v>4</v>
      </c>
      <c r="E409" s="2" t="s">
        <v>20</v>
      </c>
    </row>
    <row r="410" spans="2:5" x14ac:dyDescent="0.25">
      <c r="B410" s="2" t="s">
        <v>18</v>
      </c>
      <c r="C410" s="2">
        <v>100</v>
      </c>
      <c r="D410" s="2">
        <v>4</v>
      </c>
      <c r="E410" s="2" t="s">
        <v>20</v>
      </c>
    </row>
    <row r="411" spans="2:5" x14ac:dyDescent="0.25">
      <c r="B411" s="2" t="s">
        <v>23</v>
      </c>
      <c r="C411" s="2">
        <v>900</v>
      </c>
      <c r="D411" s="2">
        <v>3</v>
      </c>
      <c r="E411" s="2" t="s">
        <v>20</v>
      </c>
    </row>
    <row r="412" spans="2:5" x14ac:dyDescent="0.25">
      <c r="B412" s="2" t="s">
        <v>18</v>
      </c>
      <c r="C412" s="2">
        <v>500</v>
      </c>
      <c r="D412" s="2">
        <v>1</v>
      </c>
      <c r="E412" s="2" t="s">
        <v>20</v>
      </c>
    </row>
    <row r="413" spans="2:5" x14ac:dyDescent="0.25">
      <c r="B413" s="2" t="s">
        <v>23</v>
      </c>
      <c r="C413" s="2">
        <v>900</v>
      </c>
      <c r="D413" s="2">
        <v>3</v>
      </c>
      <c r="E413" s="2" t="s">
        <v>20</v>
      </c>
    </row>
    <row r="414" spans="2:5" x14ac:dyDescent="0.25">
      <c r="B414" s="2" t="s">
        <v>21</v>
      </c>
      <c r="C414" s="2">
        <v>100</v>
      </c>
      <c r="D414" s="2">
        <v>2</v>
      </c>
      <c r="E414" s="2" t="s">
        <v>20</v>
      </c>
    </row>
    <row r="415" spans="2:5" x14ac:dyDescent="0.25">
      <c r="B415" s="2" t="s">
        <v>23</v>
      </c>
      <c r="C415" s="2">
        <v>200</v>
      </c>
      <c r="D415" s="2">
        <v>4</v>
      </c>
      <c r="E415" s="2" t="s">
        <v>17</v>
      </c>
    </row>
    <row r="416" spans="2:5" x14ac:dyDescent="0.25">
      <c r="B416" s="2" t="s">
        <v>23</v>
      </c>
      <c r="C416" s="2">
        <v>2000</v>
      </c>
      <c r="D416" s="2">
        <v>4</v>
      </c>
      <c r="E416" s="2" t="s">
        <v>20</v>
      </c>
    </row>
    <row r="417" spans="2:5" x14ac:dyDescent="0.25">
      <c r="B417" s="2" t="s">
        <v>18</v>
      </c>
      <c r="C417" s="2">
        <v>75</v>
      </c>
      <c r="D417" s="2">
        <v>3</v>
      </c>
      <c r="E417" s="2" t="s">
        <v>20</v>
      </c>
    </row>
    <row r="418" spans="2:5" x14ac:dyDescent="0.25">
      <c r="B418" s="2" t="s">
        <v>18</v>
      </c>
      <c r="C418" s="2">
        <v>100</v>
      </c>
      <c r="D418" s="2">
        <v>4</v>
      </c>
      <c r="E418" s="2" t="s">
        <v>17</v>
      </c>
    </row>
    <row r="419" spans="2:5" x14ac:dyDescent="0.25">
      <c r="B419" s="2" t="s">
        <v>21</v>
      </c>
      <c r="C419" s="2">
        <v>60</v>
      </c>
      <c r="D419" s="2">
        <v>2</v>
      </c>
      <c r="E419" s="2" t="s">
        <v>17</v>
      </c>
    </row>
    <row r="420" spans="2:5" x14ac:dyDescent="0.25">
      <c r="B420" s="2" t="s">
        <v>23</v>
      </c>
      <c r="C420" s="2">
        <v>2000</v>
      </c>
      <c r="D420" s="2">
        <v>4</v>
      </c>
      <c r="E420" s="2" t="s">
        <v>17</v>
      </c>
    </row>
    <row r="421" spans="2:5" x14ac:dyDescent="0.25">
      <c r="B421" s="2" t="s">
        <v>23</v>
      </c>
      <c r="C421" s="2">
        <v>900</v>
      </c>
      <c r="D421" s="2">
        <v>3</v>
      </c>
      <c r="E421" s="2" t="s">
        <v>17</v>
      </c>
    </row>
    <row r="422" spans="2:5" x14ac:dyDescent="0.25">
      <c r="B422" s="2" t="s">
        <v>23</v>
      </c>
      <c r="C422" s="2">
        <v>1000</v>
      </c>
      <c r="D422" s="2">
        <v>2</v>
      </c>
      <c r="E422" s="2" t="s">
        <v>20</v>
      </c>
    </row>
    <row r="423" spans="2:5" x14ac:dyDescent="0.25">
      <c r="B423" s="2" t="s">
        <v>21</v>
      </c>
      <c r="C423" s="2">
        <v>90</v>
      </c>
      <c r="D423" s="2">
        <v>3</v>
      </c>
      <c r="E423" s="2" t="s">
        <v>20</v>
      </c>
    </row>
    <row r="424" spans="2:5" x14ac:dyDescent="0.25">
      <c r="B424" s="2" t="s">
        <v>21</v>
      </c>
      <c r="C424" s="2">
        <v>2000</v>
      </c>
      <c r="D424" s="2">
        <v>4</v>
      </c>
      <c r="E424" s="2" t="s">
        <v>20</v>
      </c>
    </row>
    <row r="425" spans="2:5" x14ac:dyDescent="0.25">
      <c r="B425" s="2" t="s">
        <v>21</v>
      </c>
      <c r="C425" s="2">
        <v>1500</v>
      </c>
      <c r="D425" s="2">
        <v>3</v>
      </c>
      <c r="E425" s="2" t="s">
        <v>20</v>
      </c>
    </row>
    <row r="426" spans="2:5" x14ac:dyDescent="0.25">
      <c r="B426" s="2" t="s">
        <v>21</v>
      </c>
      <c r="C426" s="2">
        <v>90</v>
      </c>
      <c r="D426" s="2">
        <v>3</v>
      </c>
      <c r="E426" s="2" t="s">
        <v>20</v>
      </c>
    </row>
    <row r="427" spans="2:5" x14ac:dyDescent="0.25">
      <c r="B427" s="2" t="s">
        <v>21</v>
      </c>
      <c r="C427" s="2">
        <v>25</v>
      </c>
      <c r="D427" s="2">
        <v>1</v>
      </c>
      <c r="E427" s="2" t="s">
        <v>20</v>
      </c>
    </row>
    <row r="428" spans="2:5" x14ac:dyDescent="0.25">
      <c r="B428" s="2" t="s">
        <v>18</v>
      </c>
      <c r="C428" s="2">
        <v>1200</v>
      </c>
      <c r="D428" s="2">
        <v>4</v>
      </c>
      <c r="E428" s="2" t="s">
        <v>17</v>
      </c>
    </row>
    <row r="429" spans="2:5" x14ac:dyDescent="0.25">
      <c r="B429" s="2" t="s">
        <v>23</v>
      </c>
      <c r="C429" s="2">
        <v>120</v>
      </c>
      <c r="D429" s="2">
        <v>4</v>
      </c>
      <c r="E429" s="2" t="s">
        <v>20</v>
      </c>
    </row>
    <row r="430" spans="2:5" x14ac:dyDescent="0.25">
      <c r="B430" s="2" t="s">
        <v>23</v>
      </c>
      <c r="C430" s="2">
        <v>150</v>
      </c>
      <c r="D430" s="2">
        <v>3</v>
      </c>
      <c r="E430" s="2" t="s">
        <v>17</v>
      </c>
    </row>
    <row r="431" spans="2:5" x14ac:dyDescent="0.25">
      <c r="B431" s="2" t="s">
        <v>23</v>
      </c>
      <c r="C431" s="2">
        <v>25</v>
      </c>
      <c r="D431" s="2">
        <v>1</v>
      </c>
      <c r="E431" s="2" t="s">
        <v>17</v>
      </c>
    </row>
    <row r="432" spans="2:5" x14ac:dyDescent="0.25">
      <c r="B432" s="2" t="s">
        <v>23</v>
      </c>
      <c r="C432" s="2">
        <v>200</v>
      </c>
      <c r="D432" s="2">
        <v>4</v>
      </c>
      <c r="E432" s="2" t="s">
        <v>20</v>
      </c>
    </row>
    <row r="433" spans="2:5" x14ac:dyDescent="0.25">
      <c r="B433" s="2" t="s">
        <v>23</v>
      </c>
      <c r="C433" s="2">
        <v>50</v>
      </c>
      <c r="D433" s="2">
        <v>2</v>
      </c>
      <c r="E433" s="2" t="s">
        <v>17</v>
      </c>
    </row>
    <row r="434" spans="2:5" x14ac:dyDescent="0.25">
      <c r="B434" s="2" t="s">
        <v>23</v>
      </c>
      <c r="C434" s="2">
        <v>900</v>
      </c>
      <c r="D434" s="2">
        <v>3</v>
      </c>
      <c r="E434" s="2" t="s">
        <v>20</v>
      </c>
    </row>
    <row r="435" spans="2:5" x14ac:dyDescent="0.25">
      <c r="B435" s="2" t="s">
        <v>23</v>
      </c>
      <c r="C435" s="2">
        <v>1200</v>
      </c>
      <c r="D435" s="2">
        <v>4</v>
      </c>
      <c r="E435" s="2" t="s">
        <v>17</v>
      </c>
    </row>
    <row r="436" spans="2:5" x14ac:dyDescent="0.25">
      <c r="B436" s="2" t="s">
        <v>23</v>
      </c>
      <c r="C436" s="2">
        <v>1000</v>
      </c>
      <c r="D436" s="2">
        <v>2</v>
      </c>
      <c r="E436" s="2" t="s">
        <v>20</v>
      </c>
    </row>
    <row r="437" spans="2:5" x14ac:dyDescent="0.25">
      <c r="B437" s="2" t="s">
        <v>18</v>
      </c>
      <c r="C437" s="2">
        <v>200</v>
      </c>
      <c r="D437" s="2">
        <v>4</v>
      </c>
      <c r="E437" s="2" t="s">
        <v>17</v>
      </c>
    </row>
    <row r="438" spans="2:5" x14ac:dyDescent="0.25">
      <c r="B438" s="2" t="s">
        <v>23</v>
      </c>
      <c r="C438" s="2">
        <v>50</v>
      </c>
      <c r="D438" s="2">
        <v>2</v>
      </c>
      <c r="E438" s="2" t="s">
        <v>20</v>
      </c>
    </row>
    <row r="439" spans="2:5" x14ac:dyDescent="0.25">
      <c r="B439" s="2" t="s">
        <v>18</v>
      </c>
      <c r="C439" s="2">
        <v>900</v>
      </c>
      <c r="D439" s="2">
        <v>3</v>
      </c>
      <c r="E439" s="2" t="s">
        <v>20</v>
      </c>
    </row>
    <row r="440" spans="2:5" x14ac:dyDescent="0.25">
      <c r="B440" s="2" t="s">
        <v>21</v>
      </c>
      <c r="C440" s="2">
        <v>120</v>
      </c>
      <c r="D440" s="2">
        <v>4</v>
      </c>
      <c r="E440" s="2" t="s">
        <v>20</v>
      </c>
    </row>
    <row r="441" spans="2:5" x14ac:dyDescent="0.25">
      <c r="B441" s="2" t="s">
        <v>23</v>
      </c>
      <c r="C441" s="2">
        <v>1200</v>
      </c>
      <c r="D441" s="2">
        <v>4</v>
      </c>
      <c r="E441" s="2" t="s">
        <v>20</v>
      </c>
    </row>
    <row r="442" spans="2:5" x14ac:dyDescent="0.25">
      <c r="B442" s="2" t="s">
        <v>21</v>
      </c>
      <c r="C442" s="2">
        <v>30</v>
      </c>
      <c r="D442" s="2">
        <v>1</v>
      </c>
      <c r="E442" s="2" t="s">
        <v>20</v>
      </c>
    </row>
    <row r="443" spans="2:5" x14ac:dyDescent="0.25">
      <c r="B443" s="2" t="s">
        <v>21</v>
      </c>
      <c r="C443" s="2">
        <v>75</v>
      </c>
      <c r="D443" s="2">
        <v>3</v>
      </c>
      <c r="E443" s="2" t="s">
        <v>17</v>
      </c>
    </row>
    <row r="444" spans="2:5" x14ac:dyDescent="0.25">
      <c r="B444" s="2" t="s">
        <v>21</v>
      </c>
      <c r="C444" s="2">
        <v>600</v>
      </c>
      <c r="D444" s="2">
        <v>2</v>
      </c>
      <c r="E444" s="2" t="s">
        <v>17</v>
      </c>
    </row>
    <row r="445" spans="2:5" x14ac:dyDescent="0.25">
      <c r="B445" s="2" t="s">
        <v>18</v>
      </c>
      <c r="C445" s="2">
        <v>1200</v>
      </c>
      <c r="D445" s="2">
        <v>4</v>
      </c>
      <c r="E445" s="2" t="s">
        <v>17</v>
      </c>
    </row>
    <row r="446" spans="2:5" x14ac:dyDescent="0.25">
      <c r="B446" s="2" t="s">
        <v>21</v>
      </c>
      <c r="C446" s="2">
        <v>100</v>
      </c>
      <c r="D446" s="2">
        <v>4</v>
      </c>
      <c r="E446" s="2" t="s">
        <v>20</v>
      </c>
    </row>
    <row r="447" spans="2:5" x14ac:dyDescent="0.25">
      <c r="B447" s="2" t="s">
        <v>21</v>
      </c>
      <c r="C447" s="2">
        <v>600</v>
      </c>
      <c r="D447" s="2">
        <v>2</v>
      </c>
      <c r="E447" s="2" t="s">
        <v>17</v>
      </c>
    </row>
    <row r="448" spans="2:5" x14ac:dyDescent="0.25">
      <c r="B448" s="2" t="s">
        <v>21</v>
      </c>
      <c r="C448" s="2">
        <v>90</v>
      </c>
      <c r="D448" s="2">
        <v>3</v>
      </c>
      <c r="E448" s="2" t="s">
        <v>20</v>
      </c>
    </row>
    <row r="449" spans="2:5" x14ac:dyDescent="0.25">
      <c r="B449" s="2" t="s">
        <v>23</v>
      </c>
      <c r="C449" s="2">
        <v>300</v>
      </c>
      <c r="D449" s="2">
        <v>1</v>
      </c>
      <c r="E449" s="2" t="s">
        <v>20</v>
      </c>
    </row>
    <row r="450" spans="2:5" x14ac:dyDescent="0.25">
      <c r="B450" s="2" t="s">
        <v>23</v>
      </c>
      <c r="C450" s="2">
        <v>50</v>
      </c>
      <c r="D450" s="2">
        <v>1</v>
      </c>
      <c r="E450" s="2" t="s">
        <v>17</v>
      </c>
    </row>
    <row r="451" spans="2:5" x14ac:dyDescent="0.25">
      <c r="B451" s="2" t="s">
        <v>18</v>
      </c>
      <c r="C451" s="2">
        <v>2000</v>
      </c>
      <c r="D451" s="2">
        <v>4</v>
      </c>
      <c r="E451" s="2" t="s">
        <v>17</v>
      </c>
    </row>
    <row r="452" spans="2:5" x14ac:dyDescent="0.25">
      <c r="B452" s="2" t="s">
        <v>18</v>
      </c>
      <c r="C452" s="2">
        <v>60</v>
      </c>
      <c r="D452" s="2">
        <v>2</v>
      </c>
      <c r="E452" s="2" t="s">
        <v>20</v>
      </c>
    </row>
    <row r="453" spans="2:5" x14ac:dyDescent="0.25">
      <c r="B453" s="2" t="s">
        <v>23</v>
      </c>
      <c r="C453" s="2">
        <v>200</v>
      </c>
      <c r="D453" s="2">
        <v>4</v>
      </c>
      <c r="E453" s="2" t="s">
        <v>17</v>
      </c>
    </row>
    <row r="454" spans="2:5" x14ac:dyDescent="0.25">
      <c r="B454" s="2" t="s">
        <v>18</v>
      </c>
      <c r="C454" s="2">
        <v>50</v>
      </c>
      <c r="D454" s="2">
        <v>2</v>
      </c>
      <c r="E454" s="2" t="s">
        <v>20</v>
      </c>
    </row>
    <row r="455" spans="2:5" x14ac:dyDescent="0.25">
      <c r="B455" s="2" t="s">
        <v>23</v>
      </c>
      <c r="C455" s="2">
        <v>30</v>
      </c>
      <c r="D455" s="2">
        <v>1</v>
      </c>
      <c r="E455" s="2" t="s">
        <v>20</v>
      </c>
    </row>
    <row r="456" spans="2:5" x14ac:dyDescent="0.25">
      <c r="B456" s="2" t="s">
        <v>21</v>
      </c>
      <c r="C456" s="2">
        <v>1500</v>
      </c>
      <c r="D456" s="2">
        <v>3</v>
      </c>
      <c r="E456" s="2" t="s">
        <v>20</v>
      </c>
    </row>
    <row r="457" spans="2:5" x14ac:dyDescent="0.25">
      <c r="B457" s="2" t="s">
        <v>21</v>
      </c>
      <c r="C457" s="2">
        <v>1000</v>
      </c>
      <c r="D457" s="2">
        <v>2</v>
      </c>
      <c r="E457" s="2" t="s">
        <v>20</v>
      </c>
    </row>
    <row r="458" spans="2:5" x14ac:dyDescent="0.25">
      <c r="B458" s="2" t="s">
        <v>18</v>
      </c>
      <c r="C458" s="2">
        <v>25</v>
      </c>
      <c r="D458" s="2">
        <v>1</v>
      </c>
      <c r="E458" s="2" t="s">
        <v>20</v>
      </c>
    </row>
    <row r="459" spans="2:5" x14ac:dyDescent="0.25">
      <c r="B459" s="2" t="s">
        <v>23</v>
      </c>
      <c r="C459" s="2">
        <v>100</v>
      </c>
      <c r="D459" s="2">
        <v>4</v>
      </c>
      <c r="E459" s="2" t="s">
        <v>17</v>
      </c>
    </row>
    <row r="460" spans="2:5" x14ac:dyDescent="0.25">
      <c r="B460" s="2" t="s">
        <v>23</v>
      </c>
      <c r="C460" s="2">
        <v>60</v>
      </c>
      <c r="D460" s="2">
        <v>2</v>
      </c>
      <c r="E460" s="2" t="s">
        <v>17</v>
      </c>
    </row>
    <row r="461" spans="2:5" x14ac:dyDescent="0.25">
      <c r="B461" s="2" t="s">
        <v>18</v>
      </c>
      <c r="C461" s="2">
        <v>900</v>
      </c>
      <c r="D461" s="2">
        <v>3</v>
      </c>
      <c r="E461" s="2" t="s">
        <v>20</v>
      </c>
    </row>
    <row r="462" spans="2:5" x14ac:dyDescent="0.25">
      <c r="B462" s="2" t="s">
        <v>23</v>
      </c>
      <c r="C462" s="2">
        <v>100</v>
      </c>
      <c r="D462" s="2">
        <v>4</v>
      </c>
      <c r="E462" s="2" t="s">
        <v>20</v>
      </c>
    </row>
    <row r="463" spans="2:5" x14ac:dyDescent="0.25">
      <c r="B463" s="2" t="s">
        <v>21</v>
      </c>
      <c r="C463" s="2">
        <v>1200</v>
      </c>
      <c r="D463" s="2">
        <v>4</v>
      </c>
      <c r="E463" s="2" t="s">
        <v>17</v>
      </c>
    </row>
    <row r="464" spans="2:5" x14ac:dyDescent="0.25">
      <c r="B464" s="2" t="s">
        <v>18</v>
      </c>
      <c r="C464" s="2">
        <v>50</v>
      </c>
      <c r="D464" s="2">
        <v>1</v>
      </c>
      <c r="E464" s="2" t="s">
        <v>17</v>
      </c>
    </row>
    <row r="465" spans="2:5" x14ac:dyDescent="0.25">
      <c r="B465" s="2" t="s">
        <v>18</v>
      </c>
      <c r="C465" s="2">
        <v>1000</v>
      </c>
      <c r="D465" s="2">
        <v>2</v>
      </c>
      <c r="E465" s="2" t="s">
        <v>20</v>
      </c>
    </row>
    <row r="466" spans="2:5" x14ac:dyDescent="0.25">
      <c r="B466" s="2" t="s">
        <v>23</v>
      </c>
      <c r="C466" s="2">
        <v>1200</v>
      </c>
      <c r="D466" s="2">
        <v>4</v>
      </c>
      <c r="E466" s="2" t="s">
        <v>17</v>
      </c>
    </row>
    <row r="467" spans="2:5" x14ac:dyDescent="0.25">
      <c r="B467" s="2" t="s">
        <v>18</v>
      </c>
      <c r="C467" s="2">
        <v>1500</v>
      </c>
      <c r="D467" s="2">
        <v>3</v>
      </c>
      <c r="E467" s="2" t="s">
        <v>20</v>
      </c>
    </row>
    <row r="468" spans="2:5" x14ac:dyDescent="0.25">
      <c r="B468" s="2" t="s">
        <v>23</v>
      </c>
      <c r="C468" s="2">
        <v>600</v>
      </c>
      <c r="D468" s="2">
        <v>2</v>
      </c>
      <c r="E468" s="2" t="s">
        <v>17</v>
      </c>
    </row>
    <row r="469" spans="2:5" x14ac:dyDescent="0.25">
      <c r="B469" s="2" t="s">
        <v>23</v>
      </c>
      <c r="C469" s="2">
        <v>150</v>
      </c>
      <c r="D469" s="2">
        <v>3</v>
      </c>
      <c r="E469" s="2" t="s">
        <v>20</v>
      </c>
    </row>
    <row r="470" spans="2:5" x14ac:dyDescent="0.25">
      <c r="B470" s="2" t="s">
        <v>23</v>
      </c>
      <c r="C470" s="2">
        <v>100</v>
      </c>
      <c r="D470" s="2">
        <v>4</v>
      </c>
      <c r="E470" s="2" t="s">
        <v>17</v>
      </c>
    </row>
    <row r="471" spans="2:5" x14ac:dyDescent="0.25">
      <c r="B471" s="2" t="s">
        <v>23</v>
      </c>
      <c r="C471" s="2">
        <v>150</v>
      </c>
      <c r="D471" s="2">
        <v>3</v>
      </c>
      <c r="E471" s="2" t="s">
        <v>20</v>
      </c>
    </row>
    <row r="472" spans="2:5" x14ac:dyDescent="0.25">
      <c r="B472" s="2" t="s">
        <v>23</v>
      </c>
      <c r="C472" s="2">
        <v>25</v>
      </c>
      <c r="D472" s="2">
        <v>1</v>
      </c>
      <c r="E472" s="2" t="s">
        <v>17</v>
      </c>
    </row>
    <row r="473" spans="2:5" x14ac:dyDescent="0.25">
      <c r="B473" s="2" t="s">
        <v>18</v>
      </c>
      <c r="C473" s="2">
        <v>75</v>
      </c>
      <c r="D473" s="2">
        <v>3</v>
      </c>
      <c r="E473" s="2" t="s">
        <v>17</v>
      </c>
    </row>
    <row r="474" spans="2:5" x14ac:dyDescent="0.25">
      <c r="B474" s="2" t="s">
        <v>21</v>
      </c>
      <c r="C474" s="2">
        <v>1000</v>
      </c>
      <c r="D474" s="2">
        <v>2</v>
      </c>
      <c r="E474" s="2" t="s">
        <v>20</v>
      </c>
    </row>
    <row r="475" spans="2:5" x14ac:dyDescent="0.25">
      <c r="B475" s="2" t="s">
        <v>21</v>
      </c>
      <c r="C475" s="2">
        <v>150</v>
      </c>
      <c r="D475" s="2">
        <v>3</v>
      </c>
      <c r="E475" s="2" t="s">
        <v>17</v>
      </c>
    </row>
    <row r="476" spans="2:5" x14ac:dyDescent="0.25">
      <c r="B476" s="2" t="s">
        <v>18</v>
      </c>
      <c r="C476" s="2">
        <v>900</v>
      </c>
      <c r="D476" s="2">
        <v>3</v>
      </c>
      <c r="E476" s="2" t="s">
        <v>20</v>
      </c>
    </row>
    <row r="477" spans="2:5" x14ac:dyDescent="0.25">
      <c r="B477" s="2" t="s">
        <v>18</v>
      </c>
      <c r="C477" s="2">
        <v>50</v>
      </c>
      <c r="D477" s="2">
        <v>1</v>
      </c>
      <c r="E477" s="2" t="s">
        <v>17</v>
      </c>
    </row>
    <row r="478" spans="2:5" x14ac:dyDescent="0.25">
      <c r="B478" s="2" t="s">
        <v>21</v>
      </c>
      <c r="C478" s="2">
        <v>1500</v>
      </c>
      <c r="D478" s="2">
        <v>3</v>
      </c>
      <c r="E478" s="2" t="s">
        <v>20</v>
      </c>
    </row>
    <row r="479" spans="2:5" x14ac:dyDescent="0.25">
      <c r="B479" s="2" t="s">
        <v>21</v>
      </c>
      <c r="C479" s="2">
        <v>75</v>
      </c>
      <c r="D479" s="2">
        <v>3</v>
      </c>
      <c r="E479" s="2" t="s">
        <v>17</v>
      </c>
    </row>
    <row r="480" spans="2:5" x14ac:dyDescent="0.25">
      <c r="B480" s="2" t="s">
        <v>21</v>
      </c>
      <c r="C480" s="2">
        <v>2000</v>
      </c>
      <c r="D480" s="2">
        <v>4</v>
      </c>
      <c r="E480" s="2" t="s">
        <v>20</v>
      </c>
    </row>
    <row r="481" spans="2:5" x14ac:dyDescent="0.25">
      <c r="B481" s="2" t="s">
        <v>21</v>
      </c>
      <c r="C481" s="2">
        <v>120</v>
      </c>
      <c r="D481" s="2">
        <v>4</v>
      </c>
      <c r="E481" s="2" t="s">
        <v>17</v>
      </c>
    </row>
    <row r="482" spans="2:5" x14ac:dyDescent="0.25">
      <c r="B482" s="2" t="s">
        <v>21</v>
      </c>
      <c r="C482" s="2">
        <v>60</v>
      </c>
      <c r="D482" s="2">
        <v>2</v>
      </c>
      <c r="E482" s="2" t="s">
        <v>20</v>
      </c>
    </row>
    <row r="483" spans="2:5" x14ac:dyDescent="0.25">
      <c r="B483" s="2" t="s">
        <v>23</v>
      </c>
      <c r="C483" s="2">
        <v>1200</v>
      </c>
      <c r="D483" s="2">
        <v>4</v>
      </c>
      <c r="E483" s="2" t="s">
        <v>17</v>
      </c>
    </row>
    <row r="484" spans="2:5" x14ac:dyDescent="0.25">
      <c r="B484" s="2" t="s">
        <v>18</v>
      </c>
      <c r="C484" s="2">
        <v>2000</v>
      </c>
      <c r="D484" s="2">
        <v>4</v>
      </c>
      <c r="E484" s="2" t="s">
        <v>20</v>
      </c>
    </row>
    <row r="485" spans="2:5" x14ac:dyDescent="0.25">
      <c r="B485" s="2" t="s">
        <v>23</v>
      </c>
      <c r="C485" s="2">
        <v>1200</v>
      </c>
      <c r="D485" s="2">
        <v>4</v>
      </c>
      <c r="E485" s="2" t="s">
        <v>20</v>
      </c>
    </row>
    <row r="486" spans="2:5" x14ac:dyDescent="0.25">
      <c r="B486" s="2" t="s">
        <v>21</v>
      </c>
      <c r="C486" s="2">
        <v>1200</v>
      </c>
      <c r="D486" s="2">
        <v>4</v>
      </c>
      <c r="E486" s="2" t="s">
        <v>20</v>
      </c>
    </row>
    <row r="487" spans="2:5" x14ac:dyDescent="0.25">
      <c r="B487" s="2" t="s">
        <v>21</v>
      </c>
      <c r="C487" s="2">
        <v>30</v>
      </c>
      <c r="D487" s="2">
        <v>1</v>
      </c>
      <c r="E487" s="2" t="s">
        <v>17</v>
      </c>
    </row>
    <row r="488" spans="2:5" x14ac:dyDescent="0.25">
      <c r="B488" s="2" t="s">
        <v>21</v>
      </c>
      <c r="C488" s="2">
        <v>1200</v>
      </c>
      <c r="D488" s="2">
        <v>4</v>
      </c>
      <c r="E488" s="2" t="s">
        <v>20</v>
      </c>
    </row>
    <row r="489" spans="2:5" x14ac:dyDescent="0.25">
      <c r="B489" s="2" t="s">
        <v>23</v>
      </c>
      <c r="C489" s="2">
        <v>30</v>
      </c>
      <c r="D489" s="2">
        <v>1</v>
      </c>
      <c r="E489" s="2" t="s">
        <v>17</v>
      </c>
    </row>
    <row r="490" spans="2:5" x14ac:dyDescent="0.25">
      <c r="B490" s="2" t="s">
        <v>23</v>
      </c>
      <c r="C490" s="2">
        <v>25</v>
      </c>
      <c r="D490" s="2">
        <v>1</v>
      </c>
      <c r="E490" s="2" t="s">
        <v>20</v>
      </c>
    </row>
    <row r="491" spans="2:5" x14ac:dyDescent="0.25">
      <c r="B491" s="2" t="s">
        <v>21</v>
      </c>
      <c r="C491" s="2">
        <v>2000</v>
      </c>
      <c r="D491" s="2">
        <v>4</v>
      </c>
      <c r="E491" s="2" t="s">
        <v>17</v>
      </c>
    </row>
    <row r="492" spans="2:5" x14ac:dyDescent="0.25">
      <c r="B492" s="2" t="s">
        <v>23</v>
      </c>
      <c r="C492" s="2">
        <v>900</v>
      </c>
      <c r="D492" s="2">
        <v>3</v>
      </c>
      <c r="E492" s="2" t="s">
        <v>20</v>
      </c>
    </row>
    <row r="493" spans="2:5" x14ac:dyDescent="0.25">
      <c r="B493" s="2" t="s">
        <v>23</v>
      </c>
      <c r="C493" s="2">
        <v>30</v>
      </c>
      <c r="D493" s="2">
        <v>1</v>
      </c>
      <c r="E493" s="2" t="s">
        <v>17</v>
      </c>
    </row>
    <row r="494" spans="2:5" x14ac:dyDescent="0.25">
      <c r="B494" s="2" t="s">
        <v>21</v>
      </c>
      <c r="C494" s="2">
        <v>150</v>
      </c>
      <c r="D494" s="2">
        <v>3</v>
      </c>
      <c r="E494" s="2" t="s">
        <v>17</v>
      </c>
    </row>
    <row r="495" spans="2:5" x14ac:dyDescent="0.25">
      <c r="B495" s="2" t="s">
        <v>23</v>
      </c>
      <c r="C495" s="2">
        <v>900</v>
      </c>
      <c r="D495" s="2">
        <v>3</v>
      </c>
      <c r="E495" s="2" t="s">
        <v>20</v>
      </c>
    </row>
    <row r="496" spans="2:5" x14ac:dyDescent="0.25">
      <c r="B496" s="2" t="s">
        <v>18</v>
      </c>
      <c r="C496" s="2">
        <v>100</v>
      </c>
      <c r="D496" s="2">
        <v>4</v>
      </c>
      <c r="E496" s="2" t="s">
        <v>17</v>
      </c>
    </row>
    <row r="497" spans="2:5" x14ac:dyDescent="0.25">
      <c r="B497" s="2" t="s">
        <v>18</v>
      </c>
      <c r="C497" s="2">
        <v>50</v>
      </c>
      <c r="D497" s="2">
        <v>2</v>
      </c>
      <c r="E497" s="2" t="s">
        <v>17</v>
      </c>
    </row>
    <row r="498" spans="2:5" x14ac:dyDescent="0.25">
      <c r="B498" s="2" t="s">
        <v>18</v>
      </c>
      <c r="C498" s="2">
        <v>200</v>
      </c>
      <c r="D498" s="2">
        <v>4</v>
      </c>
      <c r="E498" s="2" t="s">
        <v>20</v>
      </c>
    </row>
    <row r="499" spans="2:5" x14ac:dyDescent="0.25">
      <c r="B499" s="2" t="s">
        <v>18</v>
      </c>
      <c r="C499" s="2">
        <v>60</v>
      </c>
      <c r="D499" s="2">
        <v>2</v>
      </c>
      <c r="E499" s="2" t="s">
        <v>17</v>
      </c>
    </row>
    <row r="500" spans="2:5" x14ac:dyDescent="0.25">
      <c r="B500" s="2" t="s">
        <v>21</v>
      </c>
      <c r="C500" s="2">
        <v>600</v>
      </c>
      <c r="D500" s="2">
        <v>2</v>
      </c>
      <c r="E500" s="2" t="s">
        <v>17</v>
      </c>
    </row>
    <row r="501" spans="2:5" x14ac:dyDescent="0.25">
      <c r="B501" s="2" t="s">
        <v>21</v>
      </c>
      <c r="C501" s="2">
        <v>120</v>
      </c>
      <c r="D501" s="2">
        <v>4</v>
      </c>
      <c r="E501" s="2" t="s">
        <v>17</v>
      </c>
    </row>
    <row r="502" spans="2:5" x14ac:dyDescent="0.25">
      <c r="B502" s="2" t="s">
        <v>21</v>
      </c>
      <c r="C502" s="2">
        <v>100</v>
      </c>
      <c r="D502" s="2">
        <v>4</v>
      </c>
      <c r="E502" s="2" t="s">
        <v>20</v>
      </c>
    </row>
    <row r="503" spans="2:5" x14ac:dyDescent="0.25">
      <c r="B503" s="2" t="s">
        <v>18</v>
      </c>
      <c r="C503" s="2">
        <v>60</v>
      </c>
      <c r="D503" s="2">
        <v>2</v>
      </c>
      <c r="E503" s="2" t="s">
        <v>17</v>
      </c>
    </row>
    <row r="504" spans="2:5" x14ac:dyDescent="0.25">
      <c r="B504" s="2" t="s">
        <v>18</v>
      </c>
      <c r="C504" s="2">
        <v>100</v>
      </c>
      <c r="D504" s="2">
        <v>4</v>
      </c>
      <c r="E504" s="2" t="s">
        <v>20</v>
      </c>
    </row>
    <row r="505" spans="2:5" x14ac:dyDescent="0.25">
      <c r="B505" s="2" t="s">
        <v>23</v>
      </c>
      <c r="C505" s="2">
        <v>60</v>
      </c>
      <c r="D505" s="2">
        <v>2</v>
      </c>
      <c r="E505" s="2" t="s">
        <v>17</v>
      </c>
    </row>
    <row r="506" spans="2:5" x14ac:dyDescent="0.25">
      <c r="B506" s="2" t="s">
        <v>23</v>
      </c>
      <c r="C506" s="2">
        <v>150</v>
      </c>
      <c r="D506" s="2">
        <v>3</v>
      </c>
      <c r="E506" s="2" t="s">
        <v>17</v>
      </c>
    </row>
    <row r="507" spans="2:5" x14ac:dyDescent="0.25">
      <c r="B507" s="2" t="s">
        <v>18</v>
      </c>
      <c r="C507" s="2">
        <v>2000</v>
      </c>
      <c r="D507" s="2">
        <v>4</v>
      </c>
      <c r="E507" s="2" t="s">
        <v>17</v>
      </c>
    </row>
    <row r="508" spans="2:5" x14ac:dyDescent="0.25">
      <c r="B508" s="2" t="s">
        <v>18</v>
      </c>
      <c r="C508" s="2">
        <v>150</v>
      </c>
      <c r="D508" s="2">
        <v>3</v>
      </c>
      <c r="E508" s="2" t="s">
        <v>20</v>
      </c>
    </row>
    <row r="509" spans="2:5" x14ac:dyDescent="0.25">
      <c r="B509" s="2" t="s">
        <v>18</v>
      </c>
      <c r="C509" s="2">
        <v>50</v>
      </c>
      <c r="D509" s="2">
        <v>1</v>
      </c>
      <c r="E509" s="2" t="s">
        <v>17</v>
      </c>
    </row>
    <row r="510" spans="2:5" x14ac:dyDescent="0.25">
      <c r="B510" s="2" t="s">
        <v>18</v>
      </c>
      <c r="C510" s="2">
        <v>1500</v>
      </c>
      <c r="D510" s="2">
        <v>3</v>
      </c>
      <c r="E510" s="2" t="s">
        <v>17</v>
      </c>
    </row>
    <row r="511" spans="2:5" x14ac:dyDescent="0.25">
      <c r="B511" s="2" t="s">
        <v>23</v>
      </c>
      <c r="C511" s="2">
        <v>1500</v>
      </c>
      <c r="D511" s="2">
        <v>3</v>
      </c>
      <c r="E511" s="2" t="s">
        <v>20</v>
      </c>
    </row>
    <row r="512" spans="2:5" x14ac:dyDescent="0.25">
      <c r="B512" s="2" t="s">
        <v>18</v>
      </c>
      <c r="C512" s="2">
        <v>600</v>
      </c>
      <c r="D512" s="2">
        <v>2</v>
      </c>
      <c r="E512" s="2" t="s">
        <v>17</v>
      </c>
    </row>
    <row r="513" spans="2:5" x14ac:dyDescent="0.25">
      <c r="B513" s="2" t="s">
        <v>23</v>
      </c>
      <c r="C513" s="2">
        <v>900</v>
      </c>
      <c r="D513" s="2">
        <v>3</v>
      </c>
      <c r="E513" s="2" t="s">
        <v>20</v>
      </c>
    </row>
    <row r="514" spans="2:5" x14ac:dyDescent="0.25">
      <c r="B514" s="2" t="s">
        <v>18</v>
      </c>
      <c r="C514" s="2">
        <v>200</v>
      </c>
      <c r="D514" s="2">
        <v>4</v>
      </c>
      <c r="E514" s="2" t="s">
        <v>20</v>
      </c>
    </row>
    <row r="515" spans="2:5" x14ac:dyDescent="0.25">
      <c r="B515" s="2" t="s">
        <v>18</v>
      </c>
      <c r="C515" s="2">
        <v>100</v>
      </c>
      <c r="D515" s="2">
        <v>2</v>
      </c>
      <c r="E515" s="2" t="s">
        <v>17</v>
      </c>
    </row>
    <row r="516" spans="2:5" x14ac:dyDescent="0.25">
      <c r="B516" s="2" t="s">
        <v>18</v>
      </c>
      <c r="C516" s="2">
        <v>25</v>
      </c>
      <c r="D516" s="2">
        <v>1</v>
      </c>
      <c r="E516" s="2" t="s">
        <v>20</v>
      </c>
    </row>
    <row r="517" spans="2:5" x14ac:dyDescent="0.25">
      <c r="B517" s="2" t="s">
        <v>23</v>
      </c>
      <c r="C517" s="2">
        <v>100</v>
      </c>
      <c r="D517" s="2">
        <v>4</v>
      </c>
      <c r="E517" s="2" t="s">
        <v>17</v>
      </c>
    </row>
    <row r="518" spans="2:5" x14ac:dyDescent="0.25">
      <c r="B518" s="2" t="s">
        <v>23</v>
      </c>
      <c r="C518" s="2">
        <v>300</v>
      </c>
      <c r="D518" s="2">
        <v>1</v>
      </c>
      <c r="E518" s="2" t="s">
        <v>20</v>
      </c>
    </row>
    <row r="519" spans="2:5" x14ac:dyDescent="0.25">
      <c r="B519" s="2" t="s">
        <v>21</v>
      </c>
      <c r="C519" s="2">
        <v>900</v>
      </c>
      <c r="D519" s="2">
        <v>3</v>
      </c>
      <c r="E519" s="2" t="s">
        <v>20</v>
      </c>
    </row>
    <row r="520" spans="2:5" x14ac:dyDescent="0.25">
      <c r="B520" s="2" t="s">
        <v>18</v>
      </c>
      <c r="C520" s="2">
        <v>100</v>
      </c>
      <c r="D520" s="2">
        <v>4</v>
      </c>
      <c r="E520" s="2" t="s">
        <v>17</v>
      </c>
    </row>
    <row r="521" spans="2:5" x14ac:dyDescent="0.25">
      <c r="B521" s="2" t="s">
        <v>21</v>
      </c>
      <c r="C521" s="2">
        <v>100</v>
      </c>
      <c r="D521" s="2">
        <v>4</v>
      </c>
      <c r="E521" s="2" t="s">
        <v>20</v>
      </c>
    </row>
    <row r="522" spans="2:5" x14ac:dyDescent="0.25">
      <c r="B522" s="2" t="s">
        <v>21</v>
      </c>
      <c r="C522" s="2">
        <v>30</v>
      </c>
      <c r="D522" s="2">
        <v>1</v>
      </c>
      <c r="E522" s="2" t="s">
        <v>20</v>
      </c>
    </row>
    <row r="523" spans="2:5" x14ac:dyDescent="0.25">
      <c r="B523" s="2" t="s">
        <v>23</v>
      </c>
      <c r="C523" s="2">
        <v>120</v>
      </c>
      <c r="D523" s="2">
        <v>4</v>
      </c>
      <c r="E523" s="2" t="s">
        <v>20</v>
      </c>
    </row>
    <row r="524" spans="2:5" x14ac:dyDescent="0.25">
      <c r="B524" s="2" t="s">
        <v>23</v>
      </c>
      <c r="C524" s="2">
        <v>100</v>
      </c>
      <c r="D524" s="2">
        <v>4</v>
      </c>
      <c r="E524" s="2" t="s">
        <v>20</v>
      </c>
    </row>
    <row r="525" spans="2:5" x14ac:dyDescent="0.25">
      <c r="B525" s="2" t="s">
        <v>21</v>
      </c>
      <c r="C525" s="2">
        <v>120</v>
      </c>
      <c r="D525" s="2">
        <v>4</v>
      </c>
      <c r="E525" s="2" t="s">
        <v>20</v>
      </c>
    </row>
    <row r="526" spans="2:5" x14ac:dyDescent="0.25">
      <c r="B526" s="2" t="s">
        <v>18</v>
      </c>
      <c r="C526" s="2">
        <v>1500</v>
      </c>
      <c r="D526" s="2">
        <v>3</v>
      </c>
      <c r="E526" s="2" t="s">
        <v>17</v>
      </c>
    </row>
    <row r="527" spans="2:5" x14ac:dyDescent="0.25">
      <c r="B527" s="2" t="s">
        <v>23</v>
      </c>
      <c r="C527" s="2">
        <v>300</v>
      </c>
      <c r="D527" s="2">
        <v>1</v>
      </c>
      <c r="E527" s="2" t="s">
        <v>20</v>
      </c>
    </row>
    <row r="528" spans="2:5" x14ac:dyDescent="0.25">
      <c r="B528" s="2" t="s">
        <v>18</v>
      </c>
      <c r="C528" s="2">
        <v>1200</v>
      </c>
      <c r="D528" s="2">
        <v>4</v>
      </c>
      <c r="E528" s="2" t="s">
        <v>17</v>
      </c>
    </row>
    <row r="529" spans="2:5" x14ac:dyDescent="0.25">
      <c r="B529" s="2" t="s">
        <v>18</v>
      </c>
      <c r="C529" s="2">
        <v>50</v>
      </c>
      <c r="D529" s="2">
        <v>2</v>
      </c>
      <c r="E529" s="2" t="s">
        <v>20</v>
      </c>
    </row>
    <row r="530" spans="2:5" x14ac:dyDescent="0.25">
      <c r="B530" s="2" t="s">
        <v>21</v>
      </c>
      <c r="C530" s="2">
        <v>100</v>
      </c>
      <c r="D530" s="2">
        <v>2</v>
      </c>
      <c r="E530" s="2" t="s">
        <v>17</v>
      </c>
    </row>
    <row r="531" spans="2:5" x14ac:dyDescent="0.25">
      <c r="B531" s="2" t="s">
        <v>21</v>
      </c>
      <c r="C531" s="2">
        <v>50</v>
      </c>
      <c r="D531" s="2">
        <v>2</v>
      </c>
      <c r="E531" s="2" t="s">
        <v>17</v>
      </c>
    </row>
    <row r="532" spans="2:5" x14ac:dyDescent="0.25">
      <c r="B532" s="2" t="s">
        <v>21</v>
      </c>
      <c r="C532" s="2">
        <v>60</v>
      </c>
      <c r="D532" s="2">
        <v>2</v>
      </c>
      <c r="E532" s="2" t="s">
        <v>20</v>
      </c>
    </row>
    <row r="533" spans="2:5" x14ac:dyDescent="0.25">
      <c r="B533" s="2" t="s">
        <v>21</v>
      </c>
      <c r="C533" s="2">
        <v>150</v>
      </c>
      <c r="D533" s="2">
        <v>3</v>
      </c>
      <c r="E533" s="2" t="s">
        <v>20</v>
      </c>
    </row>
    <row r="534" spans="2:5" x14ac:dyDescent="0.25">
      <c r="B534" s="2" t="s">
        <v>23</v>
      </c>
      <c r="C534" s="2">
        <v>120</v>
      </c>
      <c r="D534" s="2">
        <v>4</v>
      </c>
      <c r="E534" s="2" t="s">
        <v>20</v>
      </c>
    </row>
    <row r="535" spans="2:5" x14ac:dyDescent="0.25">
      <c r="B535" s="2" t="s">
        <v>23</v>
      </c>
      <c r="C535" s="2">
        <v>500</v>
      </c>
      <c r="D535" s="2">
        <v>1</v>
      </c>
      <c r="E535" s="2" t="s">
        <v>17</v>
      </c>
    </row>
    <row r="536" spans="2:5" x14ac:dyDescent="0.25">
      <c r="B536" s="2" t="s">
        <v>21</v>
      </c>
      <c r="C536" s="2">
        <v>120</v>
      </c>
      <c r="D536" s="2">
        <v>4</v>
      </c>
      <c r="E536" s="2" t="s">
        <v>20</v>
      </c>
    </row>
    <row r="537" spans="2:5" x14ac:dyDescent="0.25">
      <c r="B537" s="2" t="s">
        <v>23</v>
      </c>
      <c r="C537" s="2">
        <v>1500</v>
      </c>
      <c r="D537" s="2">
        <v>3</v>
      </c>
      <c r="E537" s="2" t="s">
        <v>17</v>
      </c>
    </row>
    <row r="538" spans="2:5" x14ac:dyDescent="0.25">
      <c r="B538" s="2" t="s">
        <v>21</v>
      </c>
      <c r="C538" s="2">
        <v>1000</v>
      </c>
      <c r="D538" s="2">
        <v>2</v>
      </c>
      <c r="E538" s="2" t="s">
        <v>17</v>
      </c>
    </row>
    <row r="539" spans="2:5" x14ac:dyDescent="0.25">
      <c r="B539" s="2" t="s">
        <v>18</v>
      </c>
      <c r="C539" s="2">
        <v>90</v>
      </c>
      <c r="D539" s="2">
        <v>3</v>
      </c>
      <c r="E539" s="2" t="s">
        <v>17</v>
      </c>
    </row>
    <row r="540" spans="2:5" x14ac:dyDescent="0.25">
      <c r="B540" s="2" t="s">
        <v>18</v>
      </c>
      <c r="C540" s="2">
        <v>120</v>
      </c>
      <c r="D540" s="2">
        <v>4</v>
      </c>
      <c r="E540" s="2" t="s">
        <v>20</v>
      </c>
    </row>
    <row r="541" spans="2:5" x14ac:dyDescent="0.25">
      <c r="B541" s="2" t="s">
        <v>18</v>
      </c>
      <c r="C541" s="2">
        <v>500</v>
      </c>
      <c r="D541" s="2">
        <v>1</v>
      </c>
      <c r="E541" s="2" t="s">
        <v>20</v>
      </c>
    </row>
    <row r="542" spans="2:5" x14ac:dyDescent="0.25">
      <c r="B542" s="2" t="s">
        <v>21</v>
      </c>
      <c r="C542" s="2">
        <v>150</v>
      </c>
      <c r="D542" s="2">
        <v>3</v>
      </c>
      <c r="E542" s="2" t="s">
        <v>17</v>
      </c>
    </row>
    <row r="543" spans="2:5" x14ac:dyDescent="0.25">
      <c r="B543" s="2" t="s">
        <v>18</v>
      </c>
      <c r="C543" s="2">
        <v>500</v>
      </c>
      <c r="D543" s="2">
        <v>1</v>
      </c>
      <c r="E543" s="2" t="s">
        <v>17</v>
      </c>
    </row>
    <row r="544" spans="2:5" x14ac:dyDescent="0.25">
      <c r="B544" s="2" t="s">
        <v>23</v>
      </c>
      <c r="C544" s="2">
        <v>900</v>
      </c>
      <c r="D544" s="2">
        <v>3</v>
      </c>
      <c r="E544" s="2" t="s">
        <v>20</v>
      </c>
    </row>
    <row r="545" spans="2:5" x14ac:dyDescent="0.25">
      <c r="B545" s="2" t="s">
        <v>18</v>
      </c>
      <c r="C545" s="2">
        <v>500</v>
      </c>
      <c r="D545" s="2">
        <v>1</v>
      </c>
      <c r="E545" s="2" t="s">
        <v>17</v>
      </c>
    </row>
    <row r="546" spans="2:5" x14ac:dyDescent="0.25">
      <c r="B546" s="2" t="s">
        <v>18</v>
      </c>
      <c r="C546" s="2">
        <v>50</v>
      </c>
      <c r="D546" s="2">
        <v>1</v>
      </c>
      <c r="E546" s="2" t="s">
        <v>20</v>
      </c>
    </row>
    <row r="547" spans="2:5" x14ac:dyDescent="0.25">
      <c r="B547" s="2" t="s">
        <v>18</v>
      </c>
      <c r="C547" s="2">
        <v>600</v>
      </c>
      <c r="D547" s="2">
        <v>2</v>
      </c>
      <c r="E547" s="2" t="s">
        <v>17</v>
      </c>
    </row>
    <row r="548" spans="2:5" x14ac:dyDescent="0.25">
      <c r="B548" s="2" t="s">
        <v>23</v>
      </c>
      <c r="C548" s="2">
        <v>25</v>
      </c>
      <c r="D548" s="2">
        <v>1</v>
      </c>
      <c r="E548" s="2" t="s">
        <v>20</v>
      </c>
    </row>
    <row r="549" spans="2:5" x14ac:dyDescent="0.25">
      <c r="B549" s="2" t="s">
        <v>21</v>
      </c>
      <c r="C549" s="2">
        <v>50</v>
      </c>
      <c r="D549" s="2">
        <v>2</v>
      </c>
      <c r="E549" s="2" t="s">
        <v>17</v>
      </c>
    </row>
    <row r="550" spans="2:5" x14ac:dyDescent="0.25">
      <c r="B550" s="2" t="s">
        <v>23</v>
      </c>
      <c r="C550" s="2">
        <v>200</v>
      </c>
      <c r="D550" s="2">
        <v>4</v>
      </c>
      <c r="E550" s="2" t="s">
        <v>20</v>
      </c>
    </row>
    <row r="551" spans="2:5" x14ac:dyDescent="0.25">
      <c r="B551" s="2" t="s">
        <v>21</v>
      </c>
      <c r="C551" s="2">
        <v>2000</v>
      </c>
      <c r="D551" s="2">
        <v>4</v>
      </c>
      <c r="E551" s="2" t="s">
        <v>17</v>
      </c>
    </row>
    <row r="552" spans="2:5" x14ac:dyDescent="0.25">
      <c r="B552" s="2" t="s">
        <v>21</v>
      </c>
      <c r="C552" s="2">
        <v>60</v>
      </c>
      <c r="D552" s="2">
        <v>2</v>
      </c>
      <c r="E552" s="2" t="s">
        <v>20</v>
      </c>
    </row>
    <row r="553" spans="2:5" x14ac:dyDescent="0.25">
      <c r="B553" s="2" t="s">
        <v>18</v>
      </c>
      <c r="C553" s="2">
        <v>100</v>
      </c>
      <c r="D553" s="2">
        <v>2</v>
      </c>
      <c r="E553" s="2" t="s">
        <v>20</v>
      </c>
    </row>
    <row r="554" spans="2:5" x14ac:dyDescent="0.25">
      <c r="B554" s="2" t="s">
        <v>21</v>
      </c>
      <c r="C554" s="2">
        <v>900</v>
      </c>
      <c r="D554" s="2">
        <v>3</v>
      </c>
      <c r="E554" s="2" t="s">
        <v>17</v>
      </c>
    </row>
    <row r="555" spans="2:5" x14ac:dyDescent="0.25">
      <c r="B555" s="2" t="s">
        <v>23</v>
      </c>
      <c r="C555" s="2">
        <v>900</v>
      </c>
      <c r="D555" s="2">
        <v>3</v>
      </c>
      <c r="E555" s="2" t="s">
        <v>17</v>
      </c>
    </row>
    <row r="556" spans="2:5" x14ac:dyDescent="0.25">
      <c r="B556" s="2" t="s">
        <v>23</v>
      </c>
      <c r="C556" s="2">
        <v>75</v>
      </c>
      <c r="D556" s="2">
        <v>3</v>
      </c>
      <c r="E556" s="2" t="s">
        <v>20</v>
      </c>
    </row>
    <row r="557" spans="2:5" x14ac:dyDescent="0.25">
      <c r="B557" s="2" t="s">
        <v>21</v>
      </c>
      <c r="C557" s="2">
        <v>1200</v>
      </c>
      <c r="D557" s="2">
        <v>4</v>
      </c>
      <c r="E557" s="2" t="s">
        <v>17</v>
      </c>
    </row>
    <row r="558" spans="2:5" x14ac:dyDescent="0.25">
      <c r="B558" s="2" t="s">
        <v>18</v>
      </c>
      <c r="C558" s="2">
        <v>150</v>
      </c>
      <c r="D558" s="2">
        <v>3</v>
      </c>
      <c r="E558" s="2" t="s">
        <v>20</v>
      </c>
    </row>
    <row r="559" spans="2:5" x14ac:dyDescent="0.25">
      <c r="B559" s="2" t="s">
        <v>18</v>
      </c>
      <c r="C559" s="2">
        <v>300</v>
      </c>
      <c r="D559" s="2">
        <v>1</v>
      </c>
      <c r="E559" s="2" t="s">
        <v>17</v>
      </c>
    </row>
    <row r="560" spans="2:5" x14ac:dyDescent="0.25">
      <c r="B560" s="2" t="s">
        <v>23</v>
      </c>
      <c r="C560" s="2">
        <v>50</v>
      </c>
      <c r="D560" s="2">
        <v>1</v>
      </c>
      <c r="E560" s="2" t="s">
        <v>20</v>
      </c>
    </row>
    <row r="561" spans="2:5" x14ac:dyDescent="0.25">
      <c r="B561" s="2" t="s">
        <v>18</v>
      </c>
      <c r="C561" s="2">
        <v>90</v>
      </c>
      <c r="D561" s="2">
        <v>3</v>
      </c>
      <c r="E561" s="2" t="s">
        <v>20</v>
      </c>
    </row>
    <row r="562" spans="2:5" x14ac:dyDescent="0.25">
      <c r="B562" s="2" t="s">
        <v>21</v>
      </c>
      <c r="C562" s="2">
        <v>25</v>
      </c>
      <c r="D562" s="2">
        <v>1</v>
      </c>
      <c r="E562" s="2" t="s">
        <v>20</v>
      </c>
    </row>
    <row r="563" spans="2:5" x14ac:dyDescent="0.25">
      <c r="B563" s="2" t="s">
        <v>21</v>
      </c>
      <c r="C563" s="2">
        <v>1200</v>
      </c>
      <c r="D563" s="2">
        <v>4</v>
      </c>
      <c r="E563" s="2" t="s">
        <v>20</v>
      </c>
    </row>
    <row r="564" spans="2:5" x14ac:dyDescent="0.25">
      <c r="B564" s="2" t="s">
        <v>23</v>
      </c>
      <c r="C564" s="2">
        <v>50</v>
      </c>
      <c r="D564" s="2">
        <v>1</v>
      </c>
      <c r="E564" s="2" t="s">
        <v>20</v>
      </c>
    </row>
    <row r="565" spans="2:5" x14ac:dyDescent="0.25">
      <c r="B565" s="2" t="s">
        <v>21</v>
      </c>
      <c r="C565" s="2">
        <v>2000</v>
      </c>
      <c r="D565" s="2">
        <v>4</v>
      </c>
      <c r="E565" s="2" t="s">
        <v>20</v>
      </c>
    </row>
    <row r="566" spans="2:5" x14ac:dyDescent="0.25">
      <c r="B566" s="2" t="s">
        <v>23</v>
      </c>
      <c r="C566" s="2">
        <v>50</v>
      </c>
      <c r="D566" s="2">
        <v>2</v>
      </c>
      <c r="E566" s="2" t="s">
        <v>17</v>
      </c>
    </row>
    <row r="567" spans="2:5" x14ac:dyDescent="0.25">
      <c r="B567" s="2" t="s">
        <v>21</v>
      </c>
      <c r="C567" s="2">
        <v>60</v>
      </c>
      <c r="D567" s="2">
        <v>2</v>
      </c>
      <c r="E567" s="2" t="s">
        <v>17</v>
      </c>
    </row>
    <row r="568" spans="2:5" x14ac:dyDescent="0.25">
      <c r="B568" s="2" t="s">
        <v>23</v>
      </c>
      <c r="C568" s="2">
        <v>100</v>
      </c>
      <c r="D568" s="2">
        <v>2</v>
      </c>
      <c r="E568" s="2" t="s">
        <v>17</v>
      </c>
    </row>
    <row r="569" spans="2:5" x14ac:dyDescent="0.25">
      <c r="B569" s="2" t="s">
        <v>18</v>
      </c>
      <c r="C569" s="2">
        <v>60</v>
      </c>
      <c r="D569" s="2">
        <v>2</v>
      </c>
      <c r="E569" s="2" t="s">
        <v>20</v>
      </c>
    </row>
    <row r="570" spans="2:5" x14ac:dyDescent="0.25">
      <c r="B570" s="2" t="s">
        <v>21</v>
      </c>
      <c r="C570" s="2">
        <v>30</v>
      </c>
      <c r="D570" s="2">
        <v>1</v>
      </c>
      <c r="E570" s="2" t="s">
        <v>20</v>
      </c>
    </row>
    <row r="571" spans="2:5" x14ac:dyDescent="0.25">
      <c r="B571" s="2" t="s">
        <v>21</v>
      </c>
      <c r="C571" s="2">
        <v>900</v>
      </c>
      <c r="D571" s="2">
        <v>3</v>
      </c>
      <c r="E571" s="2" t="s">
        <v>20</v>
      </c>
    </row>
    <row r="572" spans="2:5" x14ac:dyDescent="0.25">
      <c r="B572" s="2" t="s">
        <v>23</v>
      </c>
      <c r="C572" s="2">
        <v>300</v>
      </c>
      <c r="D572" s="2">
        <v>1</v>
      </c>
      <c r="E572" s="2" t="s">
        <v>20</v>
      </c>
    </row>
    <row r="573" spans="2:5" x14ac:dyDescent="0.25">
      <c r="B573" s="2" t="s">
        <v>23</v>
      </c>
      <c r="C573" s="2">
        <v>200</v>
      </c>
      <c r="D573" s="2">
        <v>4</v>
      </c>
      <c r="E573" s="2" t="s">
        <v>17</v>
      </c>
    </row>
    <row r="574" spans="2:5" x14ac:dyDescent="0.25">
      <c r="B574" s="2" t="s">
        <v>21</v>
      </c>
      <c r="C574" s="2">
        <v>500</v>
      </c>
      <c r="D574" s="2">
        <v>1</v>
      </c>
      <c r="E574" s="2" t="s">
        <v>17</v>
      </c>
    </row>
    <row r="575" spans="2:5" x14ac:dyDescent="0.25">
      <c r="B575" s="2" t="s">
        <v>23</v>
      </c>
      <c r="C575" s="2">
        <v>50</v>
      </c>
      <c r="D575" s="2">
        <v>1</v>
      </c>
      <c r="E575" s="2" t="s">
        <v>20</v>
      </c>
    </row>
    <row r="576" spans="2:5" x14ac:dyDescent="0.25">
      <c r="B576" s="2" t="s">
        <v>21</v>
      </c>
      <c r="C576" s="2">
        <v>2000</v>
      </c>
      <c r="D576" s="2">
        <v>4</v>
      </c>
      <c r="E576" s="2" t="s">
        <v>17</v>
      </c>
    </row>
    <row r="577" spans="2:5" x14ac:dyDescent="0.25">
      <c r="B577" s="2" t="s">
        <v>18</v>
      </c>
      <c r="C577" s="2">
        <v>60</v>
      </c>
      <c r="D577" s="2">
        <v>2</v>
      </c>
      <c r="E577" s="2" t="s">
        <v>17</v>
      </c>
    </row>
    <row r="578" spans="2:5" x14ac:dyDescent="0.25">
      <c r="B578" s="2" t="s">
        <v>23</v>
      </c>
      <c r="C578" s="2">
        <v>50</v>
      </c>
      <c r="D578" s="2">
        <v>2</v>
      </c>
      <c r="E578" s="2" t="s">
        <v>20</v>
      </c>
    </row>
    <row r="579" spans="2:5" x14ac:dyDescent="0.25">
      <c r="B579" s="2" t="s">
        <v>21</v>
      </c>
      <c r="C579" s="2">
        <v>100</v>
      </c>
      <c r="D579" s="2">
        <v>2</v>
      </c>
      <c r="E579" s="2" t="s">
        <v>17</v>
      </c>
    </row>
    <row r="580" spans="2:5" x14ac:dyDescent="0.25">
      <c r="B580" s="2" t="s">
        <v>18</v>
      </c>
      <c r="C580" s="2">
        <v>150</v>
      </c>
      <c r="D580" s="2">
        <v>3</v>
      </c>
      <c r="E580" s="2" t="s">
        <v>20</v>
      </c>
    </row>
    <row r="581" spans="2:5" x14ac:dyDescent="0.25">
      <c r="B581" s="2" t="s">
        <v>18</v>
      </c>
      <c r="C581" s="2">
        <v>2000</v>
      </c>
      <c r="D581" s="2">
        <v>4</v>
      </c>
      <c r="E581" s="2" t="s">
        <v>17</v>
      </c>
    </row>
    <row r="582" spans="2:5" x14ac:dyDescent="0.25">
      <c r="B582" s="2" t="s">
        <v>21</v>
      </c>
      <c r="C582" s="2">
        <v>120</v>
      </c>
      <c r="D582" s="2">
        <v>4</v>
      </c>
      <c r="E582" s="2" t="s">
        <v>20</v>
      </c>
    </row>
    <row r="583" spans="2:5" x14ac:dyDescent="0.25">
      <c r="B583" s="2" t="s">
        <v>23</v>
      </c>
      <c r="C583" s="2">
        <v>30</v>
      </c>
      <c r="D583" s="2">
        <v>1</v>
      </c>
      <c r="E583" s="2" t="s">
        <v>20</v>
      </c>
    </row>
    <row r="584" spans="2:5" x14ac:dyDescent="0.25">
      <c r="B584" s="2" t="s">
        <v>21</v>
      </c>
      <c r="C584" s="2">
        <v>1500</v>
      </c>
      <c r="D584" s="2">
        <v>3</v>
      </c>
      <c r="E584" s="2" t="s">
        <v>20</v>
      </c>
    </row>
    <row r="585" spans="2:5" x14ac:dyDescent="0.25">
      <c r="B585" s="2" t="s">
        <v>18</v>
      </c>
      <c r="C585" s="2">
        <v>60</v>
      </c>
      <c r="D585" s="2">
        <v>2</v>
      </c>
      <c r="E585" s="2" t="s">
        <v>20</v>
      </c>
    </row>
    <row r="586" spans="2:5" x14ac:dyDescent="0.25">
      <c r="B586" s="2" t="s">
        <v>21</v>
      </c>
      <c r="C586" s="2">
        <v>900</v>
      </c>
      <c r="D586" s="2">
        <v>3</v>
      </c>
      <c r="E586" s="2" t="s">
        <v>17</v>
      </c>
    </row>
    <row r="587" spans="2:5" x14ac:dyDescent="0.25">
      <c r="B587" s="2" t="s">
        <v>23</v>
      </c>
      <c r="C587" s="2">
        <v>100</v>
      </c>
      <c r="D587" s="2">
        <v>4</v>
      </c>
      <c r="E587" s="2" t="s">
        <v>20</v>
      </c>
    </row>
    <row r="588" spans="2:5" x14ac:dyDescent="0.25">
      <c r="B588" s="2" t="s">
        <v>18</v>
      </c>
      <c r="C588" s="2">
        <v>200</v>
      </c>
      <c r="D588" s="2">
        <v>4</v>
      </c>
      <c r="E588" s="2" t="s">
        <v>20</v>
      </c>
    </row>
    <row r="589" spans="2:5" x14ac:dyDescent="0.25">
      <c r="B589" s="2" t="s">
        <v>21</v>
      </c>
      <c r="C589" s="2">
        <v>25</v>
      </c>
      <c r="D589" s="2">
        <v>1</v>
      </c>
      <c r="E589" s="2" t="s">
        <v>20</v>
      </c>
    </row>
    <row r="590" spans="2:5" x14ac:dyDescent="0.25">
      <c r="B590" s="2" t="s">
        <v>23</v>
      </c>
      <c r="C590" s="2">
        <v>50</v>
      </c>
      <c r="D590" s="2">
        <v>1</v>
      </c>
      <c r="E590" s="2" t="s">
        <v>17</v>
      </c>
    </row>
    <row r="591" spans="2:5" x14ac:dyDescent="0.25">
      <c r="B591" s="2" t="s">
        <v>18</v>
      </c>
      <c r="C591" s="2">
        <v>1200</v>
      </c>
      <c r="D591" s="2">
        <v>4</v>
      </c>
      <c r="E591" s="2" t="s">
        <v>20</v>
      </c>
    </row>
    <row r="592" spans="2:5" x14ac:dyDescent="0.25">
      <c r="B592" s="2" t="s">
        <v>23</v>
      </c>
      <c r="C592" s="2">
        <v>60</v>
      </c>
      <c r="D592" s="2">
        <v>2</v>
      </c>
      <c r="E592" s="2" t="s">
        <v>17</v>
      </c>
    </row>
    <row r="593" spans="2:5" x14ac:dyDescent="0.25">
      <c r="B593" s="2" t="s">
        <v>18</v>
      </c>
      <c r="C593" s="2">
        <v>1000</v>
      </c>
      <c r="D593" s="2">
        <v>2</v>
      </c>
      <c r="E593" s="2" t="s">
        <v>20</v>
      </c>
    </row>
    <row r="594" spans="2:5" x14ac:dyDescent="0.25">
      <c r="B594" s="2" t="s">
        <v>21</v>
      </c>
      <c r="C594" s="2">
        <v>900</v>
      </c>
      <c r="D594" s="2">
        <v>3</v>
      </c>
      <c r="E594" s="2" t="s">
        <v>17</v>
      </c>
    </row>
    <row r="595" spans="2:5" x14ac:dyDescent="0.25">
      <c r="B595" s="2" t="s">
        <v>23</v>
      </c>
      <c r="C595" s="2">
        <v>100</v>
      </c>
      <c r="D595" s="2">
        <v>4</v>
      </c>
      <c r="E595" s="2" t="s">
        <v>17</v>
      </c>
    </row>
    <row r="596" spans="2:5" x14ac:dyDescent="0.25">
      <c r="B596" s="2" t="s">
        <v>18</v>
      </c>
      <c r="C596" s="2">
        <v>2000</v>
      </c>
      <c r="D596" s="2">
        <v>4</v>
      </c>
      <c r="E596" s="2" t="s">
        <v>20</v>
      </c>
    </row>
    <row r="597" spans="2:5" x14ac:dyDescent="0.25">
      <c r="B597" s="2" t="s">
        <v>23</v>
      </c>
      <c r="C597" s="2">
        <v>60</v>
      </c>
      <c r="D597" s="2">
        <v>2</v>
      </c>
      <c r="E597" s="2" t="s">
        <v>17</v>
      </c>
    </row>
    <row r="598" spans="2:5" x14ac:dyDescent="0.25">
      <c r="B598" s="2" t="s">
        <v>23</v>
      </c>
      <c r="C598" s="2">
        <v>600</v>
      </c>
      <c r="D598" s="2">
        <v>2</v>
      </c>
      <c r="E598" s="2" t="s">
        <v>20</v>
      </c>
    </row>
    <row r="599" spans="2:5" x14ac:dyDescent="0.25">
      <c r="B599" s="2" t="s">
        <v>21</v>
      </c>
      <c r="C599" s="2">
        <v>2000</v>
      </c>
      <c r="D599" s="2">
        <v>4</v>
      </c>
      <c r="E599" s="2" t="s">
        <v>20</v>
      </c>
    </row>
    <row r="600" spans="2:5" x14ac:dyDescent="0.25">
      <c r="B600" s="2" t="s">
        <v>23</v>
      </c>
      <c r="C600" s="2">
        <v>300</v>
      </c>
      <c r="D600" s="2">
        <v>1</v>
      </c>
      <c r="E600" s="2" t="s">
        <v>20</v>
      </c>
    </row>
    <row r="601" spans="2:5" x14ac:dyDescent="0.25">
      <c r="B601" s="2" t="s">
        <v>18</v>
      </c>
      <c r="C601" s="2">
        <v>1200</v>
      </c>
      <c r="D601" s="2">
        <v>4</v>
      </c>
      <c r="E601" s="2" t="s">
        <v>17</v>
      </c>
    </row>
    <row r="602" spans="2:5" x14ac:dyDescent="0.25">
      <c r="B602" s="2" t="s">
        <v>18</v>
      </c>
      <c r="C602" s="2">
        <v>120</v>
      </c>
      <c r="D602" s="2">
        <v>4</v>
      </c>
      <c r="E602" s="2" t="s">
        <v>17</v>
      </c>
    </row>
    <row r="603" spans="2:5" x14ac:dyDescent="0.25">
      <c r="B603" s="2" t="s">
        <v>18</v>
      </c>
      <c r="C603" s="2">
        <v>100</v>
      </c>
      <c r="D603" s="2">
        <v>2</v>
      </c>
      <c r="E603" s="2" t="s">
        <v>20</v>
      </c>
    </row>
    <row r="604" spans="2:5" x14ac:dyDescent="0.25">
      <c r="B604" s="2" t="s">
        <v>18</v>
      </c>
      <c r="C604" s="2">
        <v>1000</v>
      </c>
      <c r="D604" s="2">
        <v>2</v>
      </c>
      <c r="E604" s="2" t="s">
        <v>20</v>
      </c>
    </row>
    <row r="605" spans="2:5" x14ac:dyDescent="0.25">
      <c r="B605" s="2" t="s">
        <v>21</v>
      </c>
      <c r="C605" s="2">
        <v>30</v>
      </c>
      <c r="D605" s="2">
        <v>1</v>
      </c>
      <c r="E605" s="2" t="s">
        <v>17</v>
      </c>
    </row>
    <row r="606" spans="2:5" x14ac:dyDescent="0.25">
      <c r="B606" s="2" t="s">
        <v>23</v>
      </c>
      <c r="C606" s="2">
        <v>300</v>
      </c>
      <c r="D606" s="2">
        <v>1</v>
      </c>
      <c r="E606" s="2" t="s">
        <v>20</v>
      </c>
    </row>
    <row r="607" spans="2:5" x14ac:dyDescent="0.25">
      <c r="B607" s="2" t="s">
        <v>21</v>
      </c>
      <c r="C607" s="2">
        <v>90</v>
      </c>
      <c r="D607" s="2">
        <v>3</v>
      </c>
      <c r="E607" s="2" t="s">
        <v>20</v>
      </c>
    </row>
    <row r="608" spans="2:5" x14ac:dyDescent="0.25">
      <c r="B608" s="2" t="s">
        <v>23</v>
      </c>
      <c r="C608" s="2">
        <v>200</v>
      </c>
      <c r="D608" s="2">
        <v>4</v>
      </c>
      <c r="E608" s="2" t="s">
        <v>20</v>
      </c>
    </row>
    <row r="609" spans="2:5" x14ac:dyDescent="0.25">
      <c r="B609" s="2" t="s">
        <v>23</v>
      </c>
      <c r="C609" s="2">
        <v>1000</v>
      </c>
      <c r="D609" s="2">
        <v>2</v>
      </c>
      <c r="E609" s="2" t="s">
        <v>17</v>
      </c>
    </row>
    <row r="610" spans="2:5" x14ac:dyDescent="0.25">
      <c r="B610" s="2" t="s">
        <v>23</v>
      </c>
      <c r="C610" s="2">
        <v>50</v>
      </c>
      <c r="D610" s="2">
        <v>1</v>
      </c>
      <c r="E610" s="2" t="s">
        <v>17</v>
      </c>
    </row>
    <row r="611" spans="2:5" x14ac:dyDescent="0.25">
      <c r="B611" s="2" t="s">
        <v>21</v>
      </c>
      <c r="C611" s="2">
        <v>75</v>
      </c>
      <c r="D611" s="2">
        <v>3</v>
      </c>
      <c r="E611" s="2" t="s">
        <v>17</v>
      </c>
    </row>
    <row r="612" spans="2:5" x14ac:dyDescent="0.25">
      <c r="B612" s="2" t="s">
        <v>23</v>
      </c>
      <c r="C612" s="2">
        <v>1500</v>
      </c>
      <c r="D612" s="2">
        <v>3</v>
      </c>
      <c r="E612" s="2" t="s">
        <v>20</v>
      </c>
    </row>
    <row r="613" spans="2:5" x14ac:dyDescent="0.25">
      <c r="B613" s="2" t="s">
        <v>21</v>
      </c>
      <c r="C613" s="2">
        <v>100</v>
      </c>
      <c r="D613" s="2">
        <v>2</v>
      </c>
      <c r="E613" s="2" t="s">
        <v>20</v>
      </c>
    </row>
    <row r="614" spans="2:5" x14ac:dyDescent="0.25">
      <c r="B614" s="2" t="s">
        <v>18</v>
      </c>
      <c r="C614" s="2">
        <v>600</v>
      </c>
      <c r="D614" s="2">
        <v>2</v>
      </c>
      <c r="E614" s="2" t="s">
        <v>20</v>
      </c>
    </row>
    <row r="615" spans="2:5" x14ac:dyDescent="0.25">
      <c r="B615" s="2" t="s">
        <v>18</v>
      </c>
      <c r="C615" s="2">
        <v>1500</v>
      </c>
      <c r="D615" s="2">
        <v>3</v>
      </c>
      <c r="E615" s="2" t="s">
        <v>17</v>
      </c>
    </row>
    <row r="616" spans="2:5" x14ac:dyDescent="0.25">
      <c r="B616" s="2" t="s">
        <v>23</v>
      </c>
      <c r="C616" s="2">
        <v>500</v>
      </c>
      <c r="D616" s="2">
        <v>1</v>
      </c>
      <c r="E616" s="2" t="s">
        <v>20</v>
      </c>
    </row>
    <row r="617" spans="2:5" x14ac:dyDescent="0.25">
      <c r="B617" s="2" t="s">
        <v>21</v>
      </c>
      <c r="C617" s="2">
        <v>90</v>
      </c>
      <c r="D617" s="2">
        <v>3</v>
      </c>
      <c r="E617" s="2" t="s">
        <v>20</v>
      </c>
    </row>
    <row r="618" spans="2:5" x14ac:dyDescent="0.25">
      <c r="B618" s="2" t="s">
        <v>18</v>
      </c>
      <c r="C618" s="2">
        <v>1200</v>
      </c>
      <c r="D618" s="2">
        <v>4</v>
      </c>
      <c r="E618" s="2" t="s">
        <v>20</v>
      </c>
    </row>
    <row r="619" spans="2:5" x14ac:dyDescent="0.25">
      <c r="B619" s="2" t="s">
        <v>21</v>
      </c>
      <c r="C619" s="2">
        <v>100</v>
      </c>
      <c r="D619" s="2">
        <v>4</v>
      </c>
      <c r="E619" s="2" t="s">
        <v>20</v>
      </c>
    </row>
    <row r="620" spans="2:5" x14ac:dyDescent="0.25">
      <c r="B620" s="2" t="s">
        <v>21</v>
      </c>
      <c r="C620" s="2">
        <v>100</v>
      </c>
      <c r="D620" s="2">
        <v>2</v>
      </c>
      <c r="E620" s="2" t="s">
        <v>17</v>
      </c>
    </row>
    <row r="621" spans="2:5" x14ac:dyDescent="0.25">
      <c r="B621" s="2" t="s">
        <v>23</v>
      </c>
      <c r="C621" s="2">
        <v>30</v>
      </c>
      <c r="D621" s="2">
        <v>1</v>
      </c>
      <c r="E621" s="2" t="s">
        <v>17</v>
      </c>
    </row>
    <row r="622" spans="2:5" x14ac:dyDescent="0.25">
      <c r="B622" s="2" t="s">
        <v>18</v>
      </c>
      <c r="C622" s="2">
        <v>50</v>
      </c>
      <c r="D622" s="2">
        <v>1</v>
      </c>
      <c r="E622" s="2" t="s">
        <v>20</v>
      </c>
    </row>
    <row r="623" spans="2:5" x14ac:dyDescent="0.25">
      <c r="B623" s="2" t="s">
        <v>23</v>
      </c>
      <c r="C623" s="2">
        <v>100</v>
      </c>
      <c r="D623" s="2">
        <v>4</v>
      </c>
      <c r="E623" s="2" t="s">
        <v>17</v>
      </c>
    </row>
    <row r="624" spans="2:5" x14ac:dyDescent="0.25">
      <c r="B624" s="2" t="s">
        <v>23</v>
      </c>
      <c r="C624" s="2">
        <v>75</v>
      </c>
      <c r="D624" s="2">
        <v>3</v>
      </c>
      <c r="E624" s="2" t="s">
        <v>17</v>
      </c>
    </row>
    <row r="625" spans="2:5" x14ac:dyDescent="0.25">
      <c r="B625" s="2" t="s">
        <v>18</v>
      </c>
      <c r="C625" s="2">
        <v>1000</v>
      </c>
      <c r="D625" s="2">
        <v>2</v>
      </c>
      <c r="E625" s="2" t="s">
        <v>20</v>
      </c>
    </row>
    <row r="626" spans="2:5" x14ac:dyDescent="0.25">
      <c r="B626" s="2" t="s">
        <v>18</v>
      </c>
      <c r="C626" s="2">
        <v>75</v>
      </c>
      <c r="D626" s="2">
        <v>3</v>
      </c>
      <c r="E626" s="2" t="s">
        <v>20</v>
      </c>
    </row>
    <row r="627" spans="2:5" x14ac:dyDescent="0.25">
      <c r="B627" s="2" t="s">
        <v>21</v>
      </c>
      <c r="C627" s="2">
        <v>150</v>
      </c>
      <c r="D627" s="2">
        <v>3</v>
      </c>
      <c r="E627" s="2" t="s">
        <v>17</v>
      </c>
    </row>
    <row r="628" spans="2:5" x14ac:dyDescent="0.25">
      <c r="B628" s="2" t="s">
        <v>18</v>
      </c>
      <c r="C628" s="2">
        <v>900</v>
      </c>
      <c r="D628" s="2">
        <v>3</v>
      </c>
      <c r="E628" s="2" t="s">
        <v>20</v>
      </c>
    </row>
    <row r="629" spans="2:5" x14ac:dyDescent="0.25">
      <c r="B629" s="2" t="s">
        <v>21</v>
      </c>
      <c r="C629" s="2">
        <v>300</v>
      </c>
      <c r="D629" s="2">
        <v>1</v>
      </c>
      <c r="E629" s="2" t="s">
        <v>17</v>
      </c>
    </row>
    <row r="630" spans="2:5" x14ac:dyDescent="0.25">
      <c r="B630" s="2" t="s">
        <v>21</v>
      </c>
      <c r="C630" s="2">
        <v>2000</v>
      </c>
      <c r="D630" s="2">
        <v>4</v>
      </c>
      <c r="E630" s="2" t="s">
        <v>20</v>
      </c>
    </row>
    <row r="631" spans="2:5" x14ac:dyDescent="0.25">
      <c r="B631" s="2" t="s">
        <v>21</v>
      </c>
      <c r="C631" s="2">
        <v>50</v>
      </c>
      <c r="D631" s="2">
        <v>1</v>
      </c>
      <c r="E631" s="2" t="s">
        <v>17</v>
      </c>
    </row>
    <row r="632" spans="2:5" x14ac:dyDescent="0.25">
      <c r="B632" s="2" t="s">
        <v>18</v>
      </c>
      <c r="C632" s="2">
        <v>200</v>
      </c>
      <c r="D632" s="2">
        <v>4</v>
      </c>
      <c r="E632" s="2" t="s">
        <v>20</v>
      </c>
    </row>
    <row r="633" spans="2:5" x14ac:dyDescent="0.25">
      <c r="B633" s="2" t="s">
        <v>23</v>
      </c>
      <c r="C633" s="2">
        <v>50</v>
      </c>
      <c r="D633" s="2">
        <v>2</v>
      </c>
      <c r="E633" s="2" t="s">
        <v>17</v>
      </c>
    </row>
    <row r="634" spans="2:5" x14ac:dyDescent="0.25">
      <c r="B634" s="2" t="s">
        <v>21</v>
      </c>
      <c r="C634" s="2">
        <v>100</v>
      </c>
      <c r="D634" s="2">
        <v>2</v>
      </c>
      <c r="E634" s="2" t="s">
        <v>17</v>
      </c>
    </row>
    <row r="635" spans="2:5" x14ac:dyDescent="0.25">
      <c r="B635" s="2" t="s">
        <v>23</v>
      </c>
      <c r="C635" s="2">
        <v>90</v>
      </c>
      <c r="D635" s="2">
        <v>3</v>
      </c>
      <c r="E635" s="2" t="s">
        <v>17</v>
      </c>
    </row>
    <row r="636" spans="2:5" x14ac:dyDescent="0.25">
      <c r="B636" s="2" t="s">
        <v>23</v>
      </c>
      <c r="C636" s="2">
        <v>100</v>
      </c>
      <c r="D636" s="2">
        <v>4</v>
      </c>
      <c r="E636" s="2" t="s">
        <v>20</v>
      </c>
    </row>
    <row r="637" spans="2:5" x14ac:dyDescent="0.25">
      <c r="B637" s="2" t="s">
        <v>18</v>
      </c>
      <c r="C637" s="2">
        <v>120</v>
      </c>
      <c r="D637" s="2">
        <v>4</v>
      </c>
      <c r="E637" s="2" t="s">
        <v>17</v>
      </c>
    </row>
    <row r="638" spans="2:5" x14ac:dyDescent="0.25">
      <c r="B638" s="2" t="s">
        <v>23</v>
      </c>
      <c r="C638" s="2">
        <v>2000</v>
      </c>
      <c r="D638" s="2">
        <v>4</v>
      </c>
      <c r="E638" s="2" t="s">
        <v>17</v>
      </c>
    </row>
    <row r="639" spans="2:5" x14ac:dyDescent="0.25">
      <c r="B639" s="2" t="s">
        <v>23</v>
      </c>
      <c r="C639" s="2">
        <v>900</v>
      </c>
      <c r="D639" s="2">
        <v>3</v>
      </c>
      <c r="E639" s="2" t="s">
        <v>20</v>
      </c>
    </row>
    <row r="640" spans="2:5" x14ac:dyDescent="0.25">
      <c r="B640" s="2" t="s">
        <v>18</v>
      </c>
      <c r="C640" s="2">
        <v>1500</v>
      </c>
      <c r="D640" s="2">
        <v>3</v>
      </c>
      <c r="E640" s="2" t="s">
        <v>20</v>
      </c>
    </row>
    <row r="641" spans="2:5" x14ac:dyDescent="0.25">
      <c r="B641" s="2" t="s">
        <v>21</v>
      </c>
      <c r="C641" s="2">
        <v>600</v>
      </c>
      <c r="D641" s="2">
        <v>2</v>
      </c>
      <c r="E641" s="2" t="s">
        <v>17</v>
      </c>
    </row>
    <row r="642" spans="2:5" x14ac:dyDescent="0.25">
      <c r="B642" s="2" t="s">
        <v>23</v>
      </c>
      <c r="C642" s="2">
        <v>500</v>
      </c>
      <c r="D642" s="2">
        <v>1</v>
      </c>
      <c r="E642" s="2" t="s">
        <v>17</v>
      </c>
    </row>
    <row r="643" spans="2:5" x14ac:dyDescent="0.25">
      <c r="B643" s="2" t="s">
        <v>18</v>
      </c>
      <c r="C643" s="2">
        <v>200</v>
      </c>
      <c r="D643" s="2">
        <v>4</v>
      </c>
      <c r="E643" s="2" t="s">
        <v>20</v>
      </c>
    </row>
    <row r="644" spans="2:5" x14ac:dyDescent="0.25">
      <c r="B644" s="2" t="s">
        <v>23</v>
      </c>
      <c r="C644" s="2">
        <v>120</v>
      </c>
      <c r="D644" s="2">
        <v>4</v>
      </c>
      <c r="E644" s="2" t="s">
        <v>20</v>
      </c>
    </row>
    <row r="645" spans="2:5" x14ac:dyDescent="0.25">
      <c r="B645" s="2" t="s">
        <v>23</v>
      </c>
      <c r="C645" s="2">
        <v>300</v>
      </c>
      <c r="D645" s="2">
        <v>1</v>
      </c>
      <c r="E645" s="2" t="s">
        <v>20</v>
      </c>
    </row>
    <row r="646" spans="2:5" x14ac:dyDescent="0.25">
      <c r="B646" s="2" t="s">
        <v>21</v>
      </c>
      <c r="C646" s="2">
        <v>100</v>
      </c>
      <c r="D646" s="2">
        <v>4</v>
      </c>
      <c r="E646" s="2" t="s">
        <v>20</v>
      </c>
    </row>
    <row r="647" spans="2:5" x14ac:dyDescent="0.25">
      <c r="B647" s="2" t="s">
        <v>23</v>
      </c>
      <c r="C647" s="2">
        <v>90</v>
      </c>
      <c r="D647" s="2">
        <v>3</v>
      </c>
      <c r="E647" s="2" t="s">
        <v>20</v>
      </c>
    </row>
    <row r="648" spans="2:5" x14ac:dyDescent="0.25">
      <c r="B648" s="2" t="s">
        <v>18</v>
      </c>
      <c r="C648" s="2">
        <v>75</v>
      </c>
      <c r="D648" s="2">
        <v>3</v>
      </c>
      <c r="E648" s="2" t="s">
        <v>17</v>
      </c>
    </row>
    <row r="649" spans="2:5" x14ac:dyDescent="0.25">
      <c r="B649" s="2" t="s">
        <v>23</v>
      </c>
      <c r="C649" s="2">
        <v>120</v>
      </c>
      <c r="D649" s="2">
        <v>4</v>
      </c>
      <c r="E649" s="2" t="s">
        <v>20</v>
      </c>
    </row>
    <row r="650" spans="2:5" x14ac:dyDescent="0.25">
      <c r="B650" s="2" t="s">
        <v>21</v>
      </c>
      <c r="C650" s="2">
        <v>90</v>
      </c>
      <c r="D650" s="2">
        <v>3</v>
      </c>
      <c r="E650" s="2" t="s">
        <v>17</v>
      </c>
    </row>
    <row r="651" spans="2:5" x14ac:dyDescent="0.25">
      <c r="B651" s="2" t="s">
        <v>21</v>
      </c>
      <c r="C651" s="2">
        <v>1500</v>
      </c>
      <c r="D651" s="2">
        <v>3</v>
      </c>
      <c r="E651" s="2" t="s">
        <v>17</v>
      </c>
    </row>
    <row r="652" spans="2:5" x14ac:dyDescent="0.25">
      <c r="B652" s="2" t="s">
        <v>18</v>
      </c>
      <c r="C652" s="2">
        <v>1200</v>
      </c>
      <c r="D652" s="2">
        <v>4</v>
      </c>
      <c r="E652" s="2" t="s">
        <v>17</v>
      </c>
    </row>
    <row r="653" spans="2:5" x14ac:dyDescent="0.25">
      <c r="B653" s="2" t="s">
        <v>21</v>
      </c>
      <c r="C653" s="2">
        <v>600</v>
      </c>
      <c r="D653" s="2">
        <v>2</v>
      </c>
      <c r="E653" s="2" t="s">
        <v>20</v>
      </c>
    </row>
    <row r="654" spans="2:5" x14ac:dyDescent="0.25">
      <c r="B654" s="2" t="s">
        <v>23</v>
      </c>
      <c r="C654" s="2">
        <v>30</v>
      </c>
      <c r="D654" s="2">
        <v>1</v>
      </c>
      <c r="E654" s="2" t="s">
        <v>17</v>
      </c>
    </row>
    <row r="655" spans="2:5" x14ac:dyDescent="0.25">
      <c r="B655" s="2" t="s">
        <v>21</v>
      </c>
      <c r="C655" s="2">
        <v>150</v>
      </c>
      <c r="D655" s="2">
        <v>3</v>
      </c>
      <c r="E655" s="2" t="s">
        <v>17</v>
      </c>
    </row>
    <row r="656" spans="2:5" x14ac:dyDescent="0.25">
      <c r="B656" s="2" t="s">
        <v>18</v>
      </c>
      <c r="C656" s="2">
        <v>100</v>
      </c>
      <c r="D656" s="2">
        <v>2</v>
      </c>
      <c r="E656" s="2" t="s">
        <v>20</v>
      </c>
    </row>
    <row r="657" spans="2:5" x14ac:dyDescent="0.25">
      <c r="B657" s="2" t="s">
        <v>21</v>
      </c>
      <c r="C657" s="2">
        <v>75</v>
      </c>
      <c r="D657" s="2">
        <v>3</v>
      </c>
      <c r="E657" s="2" t="s">
        <v>17</v>
      </c>
    </row>
    <row r="658" spans="2:5" x14ac:dyDescent="0.25">
      <c r="B658" s="2" t="s">
        <v>21</v>
      </c>
      <c r="C658" s="2">
        <v>75</v>
      </c>
      <c r="D658" s="2">
        <v>3</v>
      </c>
      <c r="E658" s="2" t="s">
        <v>17</v>
      </c>
    </row>
    <row r="659" spans="2:5" x14ac:dyDescent="0.25">
      <c r="B659" s="2" t="s">
        <v>21</v>
      </c>
      <c r="C659" s="2">
        <v>500</v>
      </c>
      <c r="D659" s="2">
        <v>1</v>
      </c>
      <c r="E659" s="2" t="s">
        <v>20</v>
      </c>
    </row>
    <row r="660" spans="2:5" x14ac:dyDescent="0.25">
      <c r="B660" s="2" t="s">
        <v>18</v>
      </c>
      <c r="C660" s="2">
        <v>90</v>
      </c>
      <c r="D660" s="2">
        <v>3</v>
      </c>
      <c r="E660" s="2" t="s">
        <v>17</v>
      </c>
    </row>
    <row r="661" spans="2:5" x14ac:dyDescent="0.25">
      <c r="B661" s="2" t="s">
        <v>21</v>
      </c>
      <c r="C661" s="2">
        <v>25</v>
      </c>
      <c r="D661" s="2">
        <v>1</v>
      </c>
      <c r="E661" s="2" t="s">
        <v>17</v>
      </c>
    </row>
    <row r="662" spans="2:5" x14ac:dyDescent="0.25">
      <c r="B662" s="2" t="s">
        <v>21</v>
      </c>
      <c r="C662" s="2">
        <v>25</v>
      </c>
      <c r="D662" s="2">
        <v>1</v>
      </c>
      <c r="E662" s="2" t="s">
        <v>17</v>
      </c>
    </row>
    <row r="663" spans="2:5" x14ac:dyDescent="0.25">
      <c r="B663" s="2" t="s">
        <v>23</v>
      </c>
      <c r="C663" s="2">
        <v>30</v>
      </c>
      <c r="D663" s="2">
        <v>1</v>
      </c>
      <c r="E663" s="2" t="s">
        <v>20</v>
      </c>
    </row>
    <row r="664" spans="2:5" x14ac:dyDescent="0.25">
      <c r="B664" s="2" t="s">
        <v>18</v>
      </c>
      <c r="C664" s="2">
        <v>1000</v>
      </c>
      <c r="D664" s="2">
        <v>2</v>
      </c>
      <c r="E664" s="2" t="s">
        <v>20</v>
      </c>
    </row>
    <row r="665" spans="2:5" x14ac:dyDescent="0.25">
      <c r="B665" s="2" t="s">
        <v>21</v>
      </c>
      <c r="C665" s="2">
        <v>100</v>
      </c>
      <c r="D665" s="2">
        <v>4</v>
      </c>
      <c r="E665" s="2" t="s">
        <v>20</v>
      </c>
    </row>
    <row r="666" spans="2:5" x14ac:dyDescent="0.25">
      <c r="B666" s="2" t="s">
        <v>18</v>
      </c>
      <c r="C666" s="2">
        <v>1000</v>
      </c>
      <c r="D666" s="2">
        <v>2</v>
      </c>
      <c r="E666" s="2" t="s">
        <v>17</v>
      </c>
    </row>
    <row r="667" spans="2:5" x14ac:dyDescent="0.25">
      <c r="B667" s="2" t="s">
        <v>21</v>
      </c>
      <c r="C667" s="2">
        <v>1200</v>
      </c>
      <c r="D667" s="2">
        <v>4</v>
      </c>
      <c r="E667" s="2" t="s">
        <v>17</v>
      </c>
    </row>
    <row r="668" spans="2:5" x14ac:dyDescent="0.25">
      <c r="B668" s="2" t="s">
        <v>21</v>
      </c>
      <c r="C668" s="2">
        <v>2000</v>
      </c>
      <c r="D668" s="2">
        <v>4</v>
      </c>
      <c r="E668" s="2" t="s">
        <v>20</v>
      </c>
    </row>
    <row r="669" spans="2:5" x14ac:dyDescent="0.25">
      <c r="B669" s="2" t="s">
        <v>21</v>
      </c>
      <c r="C669" s="2">
        <v>50</v>
      </c>
      <c r="D669" s="2">
        <v>1</v>
      </c>
      <c r="E669" s="2" t="s">
        <v>17</v>
      </c>
    </row>
    <row r="670" spans="2:5" x14ac:dyDescent="0.25">
      <c r="B670" s="2" t="s">
        <v>23</v>
      </c>
      <c r="C670" s="2">
        <v>150</v>
      </c>
      <c r="D670" s="2">
        <v>3</v>
      </c>
      <c r="E670" s="2" t="s">
        <v>17</v>
      </c>
    </row>
    <row r="671" spans="2:5" x14ac:dyDescent="0.25">
      <c r="B671" s="2" t="s">
        <v>23</v>
      </c>
      <c r="C671" s="2">
        <v>500</v>
      </c>
      <c r="D671" s="2">
        <v>1</v>
      </c>
      <c r="E671" s="2" t="s">
        <v>20</v>
      </c>
    </row>
    <row r="672" spans="2:5" x14ac:dyDescent="0.25">
      <c r="B672" s="2" t="s">
        <v>23</v>
      </c>
      <c r="C672" s="2">
        <v>150</v>
      </c>
      <c r="D672" s="2">
        <v>3</v>
      </c>
      <c r="E672" s="2" t="s">
        <v>20</v>
      </c>
    </row>
    <row r="673" spans="2:5" x14ac:dyDescent="0.25">
      <c r="B673" s="2" t="s">
        <v>18</v>
      </c>
      <c r="C673" s="2">
        <v>1200</v>
      </c>
      <c r="D673" s="2">
        <v>4</v>
      </c>
      <c r="E673" s="2" t="s">
        <v>17</v>
      </c>
    </row>
    <row r="674" spans="2:5" x14ac:dyDescent="0.25">
      <c r="B674" s="2" t="s">
        <v>18</v>
      </c>
      <c r="C674" s="2">
        <v>30</v>
      </c>
      <c r="D674" s="2">
        <v>1</v>
      </c>
      <c r="E674" s="2" t="s">
        <v>17</v>
      </c>
    </row>
    <row r="675" spans="2:5" x14ac:dyDescent="0.25">
      <c r="B675" s="2" t="s">
        <v>23</v>
      </c>
      <c r="C675" s="2">
        <v>150</v>
      </c>
      <c r="D675" s="2">
        <v>3</v>
      </c>
      <c r="E675" s="2" t="s">
        <v>17</v>
      </c>
    </row>
    <row r="676" spans="2:5" x14ac:dyDescent="0.25">
      <c r="B676" s="2" t="s">
        <v>18</v>
      </c>
      <c r="C676" s="2">
        <v>100</v>
      </c>
      <c r="D676" s="2">
        <v>2</v>
      </c>
      <c r="E676" s="2" t="s">
        <v>20</v>
      </c>
    </row>
    <row r="677" spans="2:5" x14ac:dyDescent="0.25">
      <c r="B677" s="2" t="s">
        <v>21</v>
      </c>
      <c r="C677" s="2">
        <v>1500</v>
      </c>
      <c r="D677" s="2">
        <v>3</v>
      </c>
      <c r="E677" s="2" t="s">
        <v>20</v>
      </c>
    </row>
    <row r="678" spans="2:5" x14ac:dyDescent="0.25">
      <c r="B678" s="2" t="s">
        <v>21</v>
      </c>
      <c r="C678" s="2">
        <v>300</v>
      </c>
      <c r="D678" s="2">
        <v>1</v>
      </c>
      <c r="E678" s="2" t="s">
        <v>20</v>
      </c>
    </row>
    <row r="679" spans="2:5" x14ac:dyDescent="0.25">
      <c r="B679" s="2" t="s">
        <v>21</v>
      </c>
      <c r="C679" s="2">
        <v>60</v>
      </c>
      <c r="D679" s="2">
        <v>2</v>
      </c>
      <c r="E679" s="2" t="s">
        <v>20</v>
      </c>
    </row>
    <row r="680" spans="2:5" x14ac:dyDescent="0.25">
      <c r="B680" s="2" t="s">
        <v>23</v>
      </c>
      <c r="C680" s="2">
        <v>1500</v>
      </c>
      <c r="D680" s="2">
        <v>3</v>
      </c>
      <c r="E680" s="2" t="s">
        <v>17</v>
      </c>
    </row>
    <row r="681" spans="2:5" x14ac:dyDescent="0.25">
      <c r="B681" s="2" t="s">
        <v>18</v>
      </c>
      <c r="C681" s="2">
        <v>1500</v>
      </c>
      <c r="D681" s="2">
        <v>3</v>
      </c>
      <c r="E681" s="2" t="s">
        <v>20</v>
      </c>
    </row>
    <row r="682" spans="2:5" x14ac:dyDescent="0.25">
      <c r="B682" s="2" t="s">
        <v>23</v>
      </c>
      <c r="C682" s="2">
        <v>900</v>
      </c>
      <c r="D682" s="2">
        <v>3</v>
      </c>
      <c r="E682" s="2" t="s">
        <v>20</v>
      </c>
    </row>
    <row r="683" spans="2:5" x14ac:dyDescent="0.25">
      <c r="B683" s="2" t="s">
        <v>18</v>
      </c>
      <c r="C683" s="2">
        <v>90</v>
      </c>
      <c r="D683" s="2">
        <v>3</v>
      </c>
      <c r="E683" s="2" t="s">
        <v>20</v>
      </c>
    </row>
    <row r="684" spans="2:5" x14ac:dyDescent="0.25">
      <c r="B684" s="2" t="s">
        <v>21</v>
      </c>
      <c r="C684" s="2">
        <v>900</v>
      </c>
      <c r="D684" s="2">
        <v>3</v>
      </c>
      <c r="E684" s="2" t="s">
        <v>20</v>
      </c>
    </row>
    <row r="685" spans="2:5" x14ac:dyDescent="0.25">
      <c r="B685" s="2" t="s">
        <v>23</v>
      </c>
      <c r="C685" s="2">
        <v>60</v>
      </c>
      <c r="D685" s="2">
        <v>2</v>
      </c>
      <c r="E685" s="2" t="s">
        <v>20</v>
      </c>
    </row>
    <row r="686" spans="2:5" x14ac:dyDescent="0.25">
      <c r="B686" s="2" t="s">
        <v>18</v>
      </c>
      <c r="C686" s="2">
        <v>1200</v>
      </c>
      <c r="D686" s="2">
        <v>4</v>
      </c>
      <c r="E686" s="2" t="s">
        <v>17</v>
      </c>
    </row>
    <row r="687" spans="2:5" x14ac:dyDescent="0.25">
      <c r="B687" s="2" t="s">
        <v>18</v>
      </c>
      <c r="C687" s="2">
        <v>1000</v>
      </c>
      <c r="D687" s="2">
        <v>2</v>
      </c>
      <c r="E687" s="2" t="s">
        <v>17</v>
      </c>
    </row>
    <row r="688" spans="2:5" x14ac:dyDescent="0.25">
      <c r="B688" s="2" t="s">
        <v>21</v>
      </c>
      <c r="C688" s="2">
        <v>1000</v>
      </c>
      <c r="D688" s="2">
        <v>2</v>
      </c>
      <c r="E688" s="2" t="s">
        <v>20</v>
      </c>
    </row>
    <row r="689" spans="2:5" x14ac:dyDescent="0.25">
      <c r="B689" s="2" t="s">
        <v>23</v>
      </c>
      <c r="C689" s="2">
        <v>50</v>
      </c>
      <c r="D689" s="2">
        <v>2</v>
      </c>
      <c r="E689" s="2" t="s">
        <v>17</v>
      </c>
    </row>
    <row r="690" spans="2:5" x14ac:dyDescent="0.25">
      <c r="B690" s="2" t="s">
        <v>23</v>
      </c>
      <c r="C690" s="2">
        <v>200</v>
      </c>
      <c r="D690" s="2">
        <v>4</v>
      </c>
      <c r="E690" s="2" t="s">
        <v>20</v>
      </c>
    </row>
    <row r="691" spans="2:5" x14ac:dyDescent="0.25">
      <c r="B691" s="2" t="s">
        <v>23</v>
      </c>
      <c r="C691" s="2">
        <v>300</v>
      </c>
      <c r="D691" s="2">
        <v>1</v>
      </c>
      <c r="E691" s="2" t="s">
        <v>20</v>
      </c>
    </row>
    <row r="692" spans="2:5" x14ac:dyDescent="0.25">
      <c r="B692" s="2" t="s">
        <v>21</v>
      </c>
      <c r="C692" s="2">
        <v>100</v>
      </c>
      <c r="D692" s="2">
        <v>4</v>
      </c>
      <c r="E692" s="2" t="s">
        <v>17</v>
      </c>
    </row>
    <row r="693" spans="2:5" x14ac:dyDescent="0.25">
      <c r="B693" s="2" t="s">
        <v>23</v>
      </c>
      <c r="C693" s="2">
        <v>100</v>
      </c>
      <c r="D693" s="2">
        <v>2</v>
      </c>
      <c r="E693" s="2" t="s">
        <v>17</v>
      </c>
    </row>
    <row r="694" spans="2:5" x14ac:dyDescent="0.25">
      <c r="B694" s="2" t="s">
        <v>21</v>
      </c>
      <c r="C694" s="2">
        <v>900</v>
      </c>
      <c r="D694" s="2">
        <v>3</v>
      </c>
      <c r="E694" s="2" t="s">
        <v>20</v>
      </c>
    </row>
    <row r="695" spans="2:5" x14ac:dyDescent="0.25">
      <c r="B695" s="2" t="s">
        <v>21</v>
      </c>
      <c r="C695" s="2">
        <v>90</v>
      </c>
      <c r="D695" s="2">
        <v>3</v>
      </c>
      <c r="E695" s="2" t="s">
        <v>20</v>
      </c>
    </row>
    <row r="696" spans="2:5" x14ac:dyDescent="0.25">
      <c r="B696" s="2" t="s">
        <v>21</v>
      </c>
      <c r="C696" s="2">
        <v>100</v>
      </c>
      <c r="D696" s="2">
        <v>2</v>
      </c>
      <c r="E696" s="2" t="s">
        <v>20</v>
      </c>
    </row>
    <row r="697" spans="2:5" x14ac:dyDescent="0.25">
      <c r="B697" s="2" t="s">
        <v>18</v>
      </c>
      <c r="C697" s="2">
        <v>1500</v>
      </c>
      <c r="D697" s="2">
        <v>3</v>
      </c>
      <c r="E697" s="2" t="s">
        <v>17</v>
      </c>
    </row>
    <row r="698" spans="2:5" x14ac:dyDescent="0.25">
      <c r="B698" s="2" t="s">
        <v>23</v>
      </c>
      <c r="C698" s="2">
        <v>50</v>
      </c>
      <c r="D698" s="2">
        <v>2</v>
      </c>
      <c r="E698" s="2" t="s">
        <v>20</v>
      </c>
    </row>
    <row r="699" spans="2:5" x14ac:dyDescent="0.25">
      <c r="B699" s="2" t="s">
        <v>23</v>
      </c>
      <c r="C699" s="2">
        <v>150</v>
      </c>
      <c r="D699" s="2">
        <v>3</v>
      </c>
      <c r="E699" s="2" t="s">
        <v>20</v>
      </c>
    </row>
    <row r="700" spans="2:5" x14ac:dyDescent="0.25">
      <c r="B700" s="2" t="s">
        <v>21</v>
      </c>
      <c r="C700" s="2">
        <v>200</v>
      </c>
      <c r="D700" s="2">
        <v>4</v>
      </c>
      <c r="E700" s="2" t="s">
        <v>20</v>
      </c>
    </row>
    <row r="701" spans="2:5" x14ac:dyDescent="0.25">
      <c r="B701" s="2" t="s">
        <v>21</v>
      </c>
      <c r="C701" s="2">
        <v>500</v>
      </c>
      <c r="D701" s="2">
        <v>1</v>
      </c>
      <c r="E701" s="2" t="s">
        <v>17</v>
      </c>
    </row>
    <row r="702" spans="2:5" x14ac:dyDescent="0.25">
      <c r="B702" s="2" t="s">
        <v>23</v>
      </c>
      <c r="C702" s="2">
        <v>300</v>
      </c>
      <c r="D702" s="2">
        <v>1</v>
      </c>
      <c r="E702" s="2" t="s">
        <v>20</v>
      </c>
    </row>
    <row r="703" spans="2:5" x14ac:dyDescent="0.25">
      <c r="B703" s="2" t="s">
        <v>21</v>
      </c>
      <c r="C703" s="2">
        <v>120</v>
      </c>
      <c r="D703" s="2">
        <v>4</v>
      </c>
      <c r="E703" s="2" t="s">
        <v>20</v>
      </c>
    </row>
    <row r="704" spans="2:5" x14ac:dyDescent="0.25">
      <c r="B704" s="2" t="s">
        <v>23</v>
      </c>
      <c r="C704" s="2">
        <v>2000</v>
      </c>
      <c r="D704" s="2">
        <v>4</v>
      </c>
      <c r="E704" s="2" t="s">
        <v>17</v>
      </c>
    </row>
    <row r="705" spans="2:5" x14ac:dyDescent="0.25">
      <c r="B705" s="2" t="s">
        <v>18</v>
      </c>
      <c r="C705" s="2">
        <v>60</v>
      </c>
      <c r="D705" s="2">
        <v>2</v>
      </c>
      <c r="E705" s="2" t="s">
        <v>20</v>
      </c>
    </row>
    <row r="706" spans="2:5" x14ac:dyDescent="0.25">
      <c r="B706" s="2" t="s">
        <v>21</v>
      </c>
      <c r="C706" s="2">
        <v>600</v>
      </c>
      <c r="D706" s="2">
        <v>2</v>
      </c>
      <c r="E706" s="2" t="s">
        <v>20</v>
      </c>
    </row>
    <row r="707" spans="2:5" x14ac:dyDescent="0.25">
      <c r="B707" s="2" t="s">
        <v>23</v>
      </c>
      <c r="C707" s="2">
        <v>100</v>
      </c>
      <c r="D707" s="2">
        <v>2</v>
      </c>
      <c r="E707" s="2" t="s">
        <v>17</v>
      </c>
    </row>
    <row r="708" spans="2:5" x14ac:dyDescent="0.25">
      <c r="B708" s="2" t="s">
        <v>21</v>
      </c>
      <c r="C708" s="2">
        <v>90</v>
      </c>
      <c r="D708" s="2">
        <v>3</v>
      </c>
      <c r="E708" s="2" t="s">
        <v>20</v>
      </c>
    </row>
    <row r="709" spans="2:5" x14ac:dyDescent="0.25">
      <c r="B709" s="2" t="s">
        <v>23</v>
      </c>
      <c r="C709" s="2">
        <v>50</v>
      </c>
      <c r="D709" s="2">
        <v>2</v>
      </c>
      <c r="E709" s="2" t="s">
        <v>17</v>
      </c>
    </row>
    <row r="710" spans="2:5" x14ac:dyDescent="0.25">
      <c r="B710" s="2" t="s">
        <v>23</v>
      </c>
      <c r="C710" s="2">
        <v>100</v>
      </c>
      <c r="D710" s="2">
        <v>4</v>
      </c>
      <c r="E710" s="2" t="s">
        <v>17</v>
      </c>
    </row>
    <row r="711" spans="2:5" x14ac:dyDescent="0.25">
      <c r="B711" s="2" t="s">
        <v>21</v>
      </c>
      <c r="C711" s="2">
        <v>500</v>
      </c>
      <c r="D711" s="2">
        <v>1</v>
      </c>
      <c r="E711" s="2" t="s">
        <v>20</v>
      </c>
    </row>
    <row r="712" spans="2:5" x14ac:dyDescent="0.25">
      <c r="B712" s="2" t="s">
        <v>18</v>
      </c>
      <c r="C712" s="2">
        <v>900</v>
      </c>
      <c r="D712" s="2">
        <v>3</v>
      </c>
      <c r="E712" s="2" t="s">
        <v>20</v>
      </c>
    </row>
    <row r="713" spans="2:5" x14ac:dyDescent="0.25">
      <c r="B713" s="2" t="s">
        <v>23</v>
      </c>
      <c r="C713" s="2">
        <v>1000</v>
      </c>
      <c r="D713" s="2">
        <v>2</v>
      </c>
      <c r="E713" s="2" t="s">
        <v>20</v>
      </c>
    </row>
    <row r="714" spans="2:5" x14ac:dyDescent="0.25">
      <c r="B714" s="2" t="s">
        <v>23</v>
      </c>
      <c r="C714" s="2">
        <v>1500</v>
      </c>
      <c r="D714" s="2">
        <v>3</v>
      </c>
      <c r="E714" s="2" t="s">
        <v>20</v>
      </c>
    </row>
    <row r="715" spans="2:5" x14ac:dyDescent="0.25">
      <c r="B715" s="2" t="s">
        <v>23</v>
      </c>
      <c r="C715" s="2">
        <v>1500</v>
      </c>
      <c r="D715" s="2">
        <v>3</v>
      </c>
      <c r="E715" s="2" t="s">
        <v>17</v>
      </c>
    </row>
    <row r="716" spans="2:5" x14ac:dyDescent="0.25">
      <c r="B716" s="2" t="s">
        <v>18</v>
      </c>
      <c r="C716" s="2">
        <v>50</v>
      </c>
      <c r="D716" s="2">
        <v>2</v>
      </c>
      <c r="E716" s="2" t="s">
        <v>20</v>
      </c>
    </row>
    <row r="717" spans="2:5" x14ac:dyDescent="0.25">
      <c r="B717" s="2" t="s">
        <v>18</v>
      </c>
      <c r="C717" s="2">
        <v>75</v>
      </c>
      <c r="D717" s="2">
        <v>3</v>
      </c>
      <c r="E717" s="2" t="s">
        <v>17</v>
      </c>
    </row>
    <row r="718" spans="2:5" x14ac:dyDescent="0.25">
      <c r="B718" s="2" t="s">
        <v>21</v>
      </c>
      <c r="C718" s="2">
        <v>500</v>
      </c>
      <c r="D718" s="2">
        <v>1</v>
      </c>
      <c r="E718" s="2" t="s">
        <v>20</v>
      </c>
    </row>
    <row r="719" spans="2:5" x14ac:dyDescent="0.25">
      <c r="B719" s="2" t="s">
        <v>18</v>
      </c>
      <c r="C719" s="2">
        <v>100</v>
      </c>
      <c r="D719" s="2">
        <v>4</v>
      </c>
      <c r="E719" s="2" t="s">
        <v>20</v>
      </c>
    </row>
    <row r="720" spans="2:5" x14ac:dyDescent="0.25">
      <c r="B720" s="2" t="s">
        <v>21</v>
      </c>
      <c r="C720" s="2">
        <v>1200</v>
      </c>
      <c r="D720" s="2">
        <v>4</v>
      </c>
      <c r="E720" s="2" t="s">
        <v>20</v>
      </c>
    </row>
    <row r="721" spans="2:5" x14ac:dyDescent="0.25">
      <c r="B721" s="2" t="s">
        <v>21</v>
      </c>
      <c r="C721" s="2">
        <v>500</v>
      </c>
      <c r="D721" s="2">
        <v>1</v>
      </c>
      <c r="E721" s="2" t="s">
        <v>17</v>
      </c>
    </row>
    <row r="722" spans="2:5" x14ac:dyDescent="0.25">
      <c r="B722" s="2" t="s">
        <v>18</v>
      </c>
      <c r="C722" s="2">
        <v>75</v>
      </c>
      <c r="D722" s="2">
        <v>3</v>
      </c>
      <c r="E722" s="2" t="s">
        <v>20</v>
      </c>
    </row>
    <row r="723" spans="2:5" x14ac:dyDescent="0.25">
      <c r="B723" s="2" t="s">
        <v>21</v>
      </c>
      <c r="C723" s="2">
        <v>60</v>
      </c>
      <c r="D723" s="2">
        <v>2</v>
      </c>
      <c r="E723" s="2" t="s">
        <v>20</v>
      </c>
    </row>
    <row r="724" spans="2:5" x14ac:dyDescent="0.25">
      <c r="B724" s="2" t="s">
        <v>18</v>
      </c>
      <c r="C724" s="2">
        <v>1500</v>
      </c>
      <c r="D724" s="2">
        <v>3</v>
      </c>
      <c r="E724" s="2" t="s">
        <v>20</v>
      </c>
    </row>
    <row r="725" spans="2:5" x14ac:dyDescent="0.25">
      <c r="B725" s="2" t="s">
        <v>21</v>
      </c>
      <c r="C725" s="2">
        <v>500</v>
      </c>
      <c r="D725" s="2">
        <v>1</v>
      </c>
      <c r="E725" s="2" t="s">
        <v>20</v>
      </c>
    </row>
    <row r="726" spans="2:5" x14ac:dyDescent="0.25">
      <c r="B726" s="2" t="s">
        <v>18</v>
      </c>
      <c r="C726" s="2">
        <v>900</v>
      </c>
      <c r="D726" s="2">
        <v>3</v>
      </c>
      <c r="E726" s="2" t="s">
        <v>17</v>
      </c>
    </row>
    <row r="727" spans="2:5" x14ac:dyDescent="0.25">
      <c r="B727" s="2" t="s">
        <v>18</v>
      </c>
      <c r="C727" s="2">
        <v>200</v>
      </c>
      <c r="D727" s="2">
        <v>4</v>
      </c>
      <c r="E727" s="2" t="s">
        <v>20</v>
      </c>
    </row>
    <row r="728" spans="2:5" x14ac:dyDescent="0.25">
      <c r="B728" s="2" t="s">
        <v>21</v>
      </c>
      <c r="C728" s="2">
        <v>150</v>
      </c>
      <c r="D728" s="2">
        <v>3</v>
      </c>
      <c r="E728" s="2" t="s">
        <v>17</v>
      </c>
    </row>
    <row r="729" spans="2:5" x14ac:dyDescent="0.25">
      <c r="B729" s="2" t="s">
        <v>23</v>
      </c>
      <c r="C729" s="2">
        <v>300</v>
      </c>
      <c r="D729" s="2">
        <v>1</v>
      </c>
      <c r="E729" s="2" t="s">
        <v>17</v>
      </c>
    </row>
    <row r="730" spans="2:5" x14ac:dyDescent="0.25">
      <c r="B730" s="2" t="s">
        <v>21</v>
      </c>
      <c r="C730" s="2">
        <v>1200</v>
      </c>
      <c r="D730" s="2">
        <v>4</v>
      </c>
      <c r="E730" s="2" t="s">
        <v>17</v>
      </c>
    </row>
    <row r="731" spans="2:5" x14ac:dyDescent="0.25">
      <c r="B731" s="2" t="s">
        <v>18</v>
      </c>
      <c r="C731" s="2">
        <v>900</v>
      </c>
      <c r="D731" s="2">
        <v>3</v>
      </c>
      <c r="E731" s="2" t="s">
        <v>17</v>
      </c>
    </row>
    <row r="732" spans="2:5" x14ac:dyDescent="0.25">
      <c r="B732" s="2" t="s">
        <v>23</v>
      </c>
      <c r="C732" s="2">
        <v>150</v>
      </c>
      <c r="D732" s="2">
        <v>3</v>
      </c>
      <c r="E732" s="2" t="s">
        <v>17</v>
      </c>
    </row>
    <row r="733" spans="2:5" x14ac:dyDescent="0.25">
      <c r="B733" s="2" t="s">
        <v>21</v>
      </c>
      <c r="C733" s="2">
        <v>1200</v>
      </c>
      <c r="D733" s="2">
        <v>4</v>
      </c>
      <c r="E733" s="2" t="s">
        <v>17</v>
      </c>
    </row>
    <row r="734" spans="2:5" x14ac:dyDescent="0.25">
      <c r="B734" s="2" t="s">
        <v>21</v>
      </c>
      <c r="C734" s="2">
        <v>50</v>
      </c>
      <c r="D734" s="2">
        <v>2</v>
      </c>
      <c r="E734" s="2" t="s">
        <v>20</v>
      </c>
    </row>
    <row r="735" spans="2:5" x14ac:dyDescent="0.25">
      <c r="B735" s="2" t="s">
        <v>21</v>
      </c>
      <c r="C735" s="2">
        <v>2000</v>
      </c>
      <c r="D735" s="2">
        <v>4</v>
      </c>
      <c r="E735" s="2" t="s">
        <v>17</v>
      </c>
    </row>
    <row r="736" spans="2:5" x14ac:dyDescent="0.25">
      <c r="B736" s="2" t="s">
        <v>23</v>
      </c>
      <c r="C736" s="2">
        <v>1000</v>
      </c>
      <c r="D736" s="2">
        <v>2</v>
      </c>
      <c r="E736" s="2" t="s">
        <v>17</v>
      </c>
    </row>
    <row r="737" spans="2:5" x14ac:dyDescent="0.25">
      <c r="B737" s="2" t="s">
        <v>18</v>
      </c>
      <c r="C737" s="2">
        <v>30</v>
      </c>
      <c r="D737" s="2">
        <v>1</v>
      </c>
      <c r="E737" s="2" t="s">
        <v>17</v>
      </c>
    </row>
    <row r="738" spans="2:5" x14ac:dyDescent="0.25">
      <c r="B738" s="2" t="s">
        <v>21</v>
      </c>
      <c r="C738" s="2">
        <v>30</v>
      </c>
      <c r="D738" s="2">
        <v>1</v>
      </c>
      <c r="E738" s="2" t="s">
        <v>20</v>
      </c>
    </row>
    <row r="739" spans="2:5" x14ac:dyDescent="0.25">
      <c r="B739" s="2" t="s">
        <v>21</v>
      </c>
      <c r="C739" s="2">
        <v>2000</v>
      </c>
      <c r="D739" s="2">
        <v>4</v>
      </c>
      <c r="E739" s="2" t="s">
        <v>20</v>
      </c>
    </row>
    <row r="740" spans="2:5" x14ac:dyDescent="0.25">
      <c r="B740" s="2" t="s">
        <v>21</v>
      </c>
      <c r="C740" s="2">
        <v>100</v>
      </c>
      <c r="D740" s="2">
        <v>4</v>
      </c>
      <c r="E740" s="2" t="s">
        <v>17</v>
      </c>
    </row>
    <row r="741" spans="2:5" x14ac:dyDescent="0.25">
      <c r="B741" s="2" t="s">
        <v>21</v>
      </c>
      <c r="C741" s="2">
        <v>50</v>
      </c>
      <c r="D741" s="2">
        <v>1</v>
      </c>
      <c r="E741" s="2" t="s">
        <v>20</v>
      </c>
    </row>
    <row r="742" spans="2:5" x14ac:dyDescent="0.25">
      <c r="B742" s="2" t="s">
        <v>21</v>
      </c>
      <c r="C742" s="2">
        <v>100</v>
      </c>
      <c r="D742" s="2">
        <v>2</v>
      </c>
      <c r="E742" s="2" t="s">
        <v>17</v>
      </c>
    </row>
    <row r="743" spans="2:5" x14ac:dyDescent="0.25">
      <c r="B743" s="2" t="s">
        <v>18</v>
      </c>
      <c r="C743" s="2">
        <v>25</v>
      </c>
      <c r="D743" s="2">
        <v>1</v>
      </c>
      <c r="E743" s="2" t="s">
        <v>17</v>
      </c>
    </row>
    <row r="744" spans="2:5" x14ac:dyDescent="0.25">
      <c r="B744" s="2" t="s">
        <v>18</v>
      </c>
      <c r="C744" s="2">
        <v>200</v>
      </c>
      <c r="D744" s="2">
        <v>4</v>
      </c>
      <c r="E744" s="2" t="s">
        <v>20</v>
      </c>
    </row>
    <row r="745" spans="2:5" x14ac:dyDescent="0.25">
      <c r="B745" s="2" t="s">
        <v>21</v>
      </c>
      <c r="C745" s="2">
        <v>300</v>
      </c>
      <c r="D745" s="2">
        <v>1</v>
      </c>
      <c r="E745" s="2" t="s">
        <v>17</v>
      </c>
    </row>
    <row r="746" spans="2:5" x14ac:dyDescent="0.25">
      <c r="B746" s="2" t="s">
        <v>23</v>
      </c>
      <c r="C746" s="2">
        <v>2000</v>
      </c>
      <c r="D746" s="2">
        <v>4</v>
      </c>
      <c r="E746" s="2" t="s">
        <v>20</v>
      </c>
    </row>
    <row r="747" spans="2:5" x14ac:dyDescent="0.25">
      <c r="B747" s="2" t="s">
        <v>18</v>
      </c>
      <c r="C747" s="2">
        <v>2000</v>
      </c>
      <c r="D747" s="2">
        <v>4</v>
      </c>
      <c r="E747" s="2" t="s">
        <v>20</v>
      </c>
    </row>
    <row r="748" spans="2:5" x14ac:dyDescent="0.25">
      <c r="B748" s="2" t="s">
        <v>23</v>
      </c>
      <c r="C748" s="2">
        <v>25</v>
      </c>
      <c r="D748" s="2">
        <v>1</v>
      </c>
      <c r="E748" s="2" t="s">
        <v>17</v>
      </c>
    </row>
    <row r="749" spans="2:5" x14ac:dyDescent="0.25">
      <c r="B749" s="2" t="s">
        <v>18</v>
      </c>
      <c r="C749" s="2">
        <v>100</v>
      </c>
      <c r="D749" s="2">
        <v>2</v>
      </c>
      <c r="E749" s="2" t="s">
        <v>17</v>
      </c>
    </row>
    <row r="750" spans="2:5" x14ac:dyDescent="0.25">
      <c r="B750" s="2" t="s">
        <v>21</v>
      </c>
      <c r="C750" s="2">
        <v>90</v>
      </c>
      <c r="D750" s="2">
        <v>3</v>
      </c>
      <c r="E750" s="2" t="s">
        <v>20</v>
      </c>
    </row>
    <row r="751" spans="2:5" x14ac:dyDescent="0.25">
      <c r="B751" s="2" t="s">
        <v>18</v>
      </c>
      <c r="C751" s="2">
        <v>30</v>
      </c>
      <c r="D751" s="2">
        <v>1</v>
      </c>
      <c r="E751" s="2" t="s">
        <v>17</v>
      </c>
    </row>
    <row r="752" spans="2:5" x14ac:dyDescent="0.25">
      <c r="B752" s="2" t="s">
        <v>21</v>
      </c>
      <c r="C752" s="2">
        <v>150</v>
      </c>
      <c r="D752" s="2">
        <v>3</v>
      </c>
      <c r="E752" s="2" t="s">
        <v>17</v>
      </c>
    </row>
    <row r="753" spans="2:5" x14ac:dyDescent="0.25">
      <c r="B753" s="2" t="s">
        <v>18</v>
      </c>
      <c r="C753" s="2">
        <v>30</v>
      </c>
      <c r="D753" s="2">
        <v>1</v>
      </c>
      <c r="E753" s="2" t="s">
        <v>17</v>
      </c>
    </row>
    <row r="754" spans="2:5" x14ac:dyDescent="0.25">
      <c r="B754" s="2" t="s">
        <v>21</v>
      </c>
      <c r="C754" s="2">
        <v>75</v>
      </c>
      <c r="D754" s="2">
        <v>3</v>
      </c>
      <c r="E754" s="2" t="s">
        <v>20</v>
      </c>
    </row>
    <row r="755" spans="2:5" x14ac:dyDescent="0.25">
      <c r="B755" s="2" t="s">
        <v>21</v>
      </c>
      <c r="C755" s="2">
        <v>50</v>
      </c>
      <c r="D755" s="2">
        <v>2</v>
      </c>
      <c r="E755" s="2" t="s">
        <v>20</v>
      </c>
    </row>
    <row r="756" spans="2:5" x14ac:dyDescent="0.25">
      <c r="B756" s="2" t="s">
        <v>21</v>
      </c>
      <c r="C756" s="2">
        <v>100</v>
      </c>
      <c r="D756" s="2">
        <v>2</v>
      </c>
      <c r="E756" s="2" t="s">
        <v>17</v>
      </c>
    </row>
    <row r="757" spans="2:5" x14ac:dyDescent="0.25">
      <c r="B757" s="2" t="s">
        <v>21</v>
      </c>
      <c r="C757" s="2">
        <v>30</v>
      </c>
      <c r="D757" s="2">
        <v>1</v>
      </c>
      <c r="E757" s="2" t="s">
        <v>20</v>
      </c>
    </row>
    <row r="758" spans="2:5" x14ac:dyDescent="0.25">
      <c r="B758" s="2" t="s">
        <v>23</v>
      </c>
      <c r="C758" s="2">
        <v>100</v>
      </c>
      <c r="D758" s="2">
        <v>4</v>
      </c>
      <c r="E758" s="2" t="s">
        <v>20</v>
      </c>
    </row>
    <row r="759" spans="2:5" x14ac:dyDescent="0.25">
      <c r="B759" s="2" t="s">
        <v>21</v>
      </c>
      <c r="C759" s="2">
        <v>75</v>
      </c>
      <c r="D759" s="2">
        <v>3</v>
      </c>
      <c r="E759" s="2" t="s">
        <v>20</v>
      </c>
    </row>
    <row r="760" spans="2:5" x14ac:dyDescent="0.25">
      <c r="B760" s="2" t="s">
        <v>23</v>
      </c>
      <c r="C760" s="2">
        <v>1200</v>
      </c>
      <c r="D760" s="2">
        <v>4</v>
      </c>
      <c r="E760" s="2" t="s">
        <v>20</v>
      </c>
    </row>
    <row r="761" spans="2:5" x14ac:dyDescent="0.25">
      <c r="B761" s="2" t="s">
        <v>23</v>
      </c>
      <c r="C761" s="2">
        <v>1200</v>
      </c>
      <c r="D761" s="2">
        <v>4</v>
      </c>
      <c r="E761" s="2" t="s">
        <v>20</v>
      </c>
    </row>
    <row r="762" spans="2:5" x14ac:dyDescent="0.25">
      <c r="B762" s="2" t="s">
        <v>21</v>
      </c>
      <c r="C762" s="2">
        <v>100</v>
      </c>
      <c r="D762" s="2">
        <v>4</v>
      </c>
      <c r="E762" s="2" t="s">
        <v>17</v>
      </c>
    </row>
    <row r="763" spans="2:5" x14ac:dyDescent="0.25">
      <c r="B763" s="2" t="s">
        <v>23</v>
      </c>
      <c r="C763" s="2">
        <v>100</v>
      </c>
      <c r="D763" s="2">
        <v>2</v>
      </c>
      <c r="E763" s="2" t="s">
        <v>17</v>
      </c>
    </row>
    <row r="764" spans="2:5" x14ac:dyDescent="0.25">
      <c r="B764" s="2" t="s">
        <v>18</v>
      </c>
      <c r="C764" s="2">
        <v>500</v>
      </c>
      <c r="D764" s="2">
        <v>1</v>
      </c>
      <c r="E764" s="2" t="s">
        <v>17</v>
      </c>
    </row>
    <row r="765" spans="2:5" x14ac:dyDescent="0.25">
      <c r="B765" s="2" t="s">
        <v>21</v>
      </c>
      <c r="C765" s="2">
        <v>500</v>
      </c>
      <c r="D765" s="2">
        <v>1</v>
      </c>
      <c r="E765" s="2" t="s">
        <v>20</v>
      </c>
    </row>
    <row r="766" spans="2:5" x14ac:dyDescent="0.25">
      <c r="B766" s="2" t="s">
        <v>23</v>
      </c>
      <c r="C766" s="2">
        <v>50</v>
      </c>
      <c r="D766" s="2">
        <v>2</v>
      </c>
      <c r="E766" s="2" t="s">
        <v>20</v>
      </c>
    </row>
    <row r="767" spans="2:5" x14ac:dyDescent="0.25">
      <c r="B767" s="2" t="s">
        <v>21</v>
      </c>
      <c r="C767" s="2">
        <v>50</v>
      </c>
      <c r="D767" s="2">
        <v>2</v>
      </c>
      <c r="E767" s="2" t="s">
        <v>17</v>
      </c>
    </row>
    <row r="768" spans="2:5" x14ac:dyDescent="0.25">
      <c r="B768" s="2" t="s">
        <v>21</v>
      </c>
      <c r="C768" s="2">
        <v>25</v>
      </c>
      <c r="D768" s="2">
        <v>1</v>
      </c>
      <c r="E768" s="2" t="s">
        <v>20</v>
      </c>
    </row>
    <row r="769" spans="2:5" x14ac:dyDescent="0.25">
      <c r="B769" s="2" t="s">
        <v>21</v>
      </c>
      <c r="C769" s="2">
        <v>200</v>
      </c>
      <c r="D769" s="2">
        <v>4</v>
      </c>
      <c r="E769" s="2" t="s">
        <v>17</v>
      </c>
    </row>
    <row r="770" spans="2:5" x14ac:dyDescent="0.25">
      <c r="B770" s="2" t="s">
        <v>23</v>
      </c>
      <c r="C770" s="2">
        <v>900</v>
      </c>
      <c r="D770" s="2">
        <v>3</v>
      </c>
      <c r="E770" s="2" t="s">
        <v>17</v>
      </c>
    </row>
    <row r="771" spans="2:5" x14ac:dyDescent="0.25">
      <c r="B771" s="2" t="s">
        <v>18</v>
      </c>
      <c r="C771" s="2">
        <v>75</v>
      </c>
      <c r="D771" s="2">
        <v>3</v>
      </c>
      <c r="E771" s="2" t="s">
        <v>17</v>
      </c>
    </row>
    <row r="772" spans="2:5" x14ac:dyDescent="0.25">
      <c r="B772" s="2" t="s">
        <v>18</v>
      </c>
      <c r="C772" s="2">
        <v>75</v>
      </c>
      <c r="D772" s="2">
        <v>3</v>
      </c>
      <c r="E772" s="2" t="s">
        <v>20</v>
      </c>
    </row>
    <row r="773" spans="2:5" x14ac:dyDescent="0.25">
      <c r="B773" s="2" t="s">
        <v>23</v>
      </c>
      <c r="C773" s="2">
        <v>120</v>
      </c>
      <c r="D773" s="2">
        <v>4</v>
      </c>
      <c r="E773" s="2" t="s">
        <v>20</v>
      </c>
    </row>
    <row r="774" spans="2:5" x14ac:dyDescent="0.25">
      <c r="B774" s="2" t="s">
        <v>21</v>
      </c>
      <c r="C774" s="2">
        <v>50</v>
      </c>
      <c r="D774" s="2">
        <v>1</v>
      </c>
      <c r="E774" s="2" t="s">
        <v>17</v>
      </c>
    </row>
    <row r="775" spans="2:5" x14ac:dyDescent="0.25">
      <c r="B775" s="2" t="s">
        <v>23</v>
      </c>
      <c r="C775" s="2">
        <v>50</v>
      </c>
      <c r="D775" s="2">
        <v>2</v>
      </c>
      <c r="E775" s="2" t="s">
        <v>17</v>
      </c>
    </row>
    <row r="776" spans="2:5" x14ac:dyDescent="0.25">
      <c r="B776" s="2" t="s">
        <v>23</v>
      </c>
      <c r="C776" s="2">
        <v>30</v>
      </c>
      <c r="D776" s="2">
        <v>1</v>
      </c>
      <c r="E776" s="2" t="s">
        <v>17</v>
      </c>
    </row>
    <row r="777" spans="2:5" x14ac:dyDescent="0.25">
      <c r="B777" s="2" t="s">
        <v>23</v>
      </c>
      <c r="C777" s="2">
        <v>2000</v>
      </c>
      <c r="D777" s="2">
        <v>4</v>
      </c>
      <c r="E777" s="2" t="s">
        <v>17</v>
      </c>
    </row>
    <row r="778" spans="2:5" x14ac:dyDescent="0.25">
      <c r="B778" s="2" t="s">
        <v>21</v>
      </c>
      <c r="C778" s="2">
        <v>50</v>
      </c>
      <c r="D778" s="2">
        <v>2</v>
      </c>
      <c r="E778" s="2" t="s">
        <v>20</v>
      </c>
    </row>
    <row r="779" spans="2:5" x14ac:dyDescent="0.25">
      <c r="B779" s="2" t="s">
        <v>23</v>
      </c>
      <c r="C779" s="2">
        <v>100</v>
      </c>
      <c r="D779" s="2">
        <v>4</v>
      </c>
      <c r="E779" s="2" t="s">
        <v>20</v>
      </c>
    </row>
    <row r="780" spans="2:5" x14ac:dyDescent="0.25">
      <c r="B780" s="2" t="s">
        <v>21</v>
      </c>
      <c r="C780" s="2">
        <v>90</v>
      </c>
      <c r="D780" s="2">
        <v>3</v>
      </c>
      <c r="E780" s="2" t="s">
        <v>17</v>
      </c>
    </row>
    <row r="781" spans="2:5" x14ac:dyDescent="0.25">
      <c r="B781" s="2" t="s">
        <v>23</v>
      </c>
      <c r="C781" s="2">
        <v>150</v>
      </c>
      <c r="D781" s="2">
        <v>3</v>
      </c>
      <c r="E781" s="2" t="s">
        <v>17</v>
      </c>
    </row>
    <row r="782" spans="2:5" x14ac:dyDescent="0.25">
      <c r="B782" s="2" t="s">
        <v>18</v>
      </c>
      <c r="C782" s="2">
        <v>100</v>
      </c>
      <c r="D782" s="2">
        <v>4</v>
      </c>
      <c r="E782" s="2" t="s">
        <v>20</v>
      </c>
    </row>
    <row r="783" spans="2:5" x14ac:dyDescent="0.25">
      <c r="B783" s="2" t="s">
        <v>23</v>
      </c>
      <c r="C783" s="2">
        <v>1000</v>
      </c>
      <c r="D783" s="2">
        <v>2</v>
      </c>
      <c r="E783" s="2" t="s">
        <v>20</v>
      </c>
    </row>
    <row r="784" spans="2:5" x14ac:dyDescent="0.25">
      <c r="B784" s="2" t="s">
        <v>23</v>
      </c>
      <c r="C784" s="2">
        <v>50</v>
      </c>
      <c r="D784" s="2">
        <v>2</v>
      </c>
      <c r="E784" s="2" t="s">
        <v>17</v>
      </c>
    </row>
    <row r="785" spans="2:5" x14ac:dyDescent="0.25">
      <c r="B785" s="2" t="s">
        <v>18</v>
      </c>
      <c r="C785" s="2">
        <v>500</v>
      </c>
      <c r="D785" s="2">
        <v>1</v>
      </c>
      <c r="E785" s="2" t="s">
        <v>17</v>
      </c>
    </row>
    <row r="786" spans="2:5" x14ac:dyDescent="0.25">
      <c r="B786" s="2" t="s">
        <v>21</v>
      </c>
      <c r="C786" s="2">
        <v>900</v>
      </c>
      <c r="D786" s="2">
        <v>3</v>
      </c>
      <c r="E786" s="2" t="s">
        <v>17</v>
      </c>
    </row>
    <row r="787" spans="2:5" x14ac:dyDescent="0.25">
      <c r="B787" s="2" t="s">
        <v>21</v>
      </c>
      <c r="C787" s="2">
        <v>300</v>
      </c>
      <c r="D787" s="2">
        <v>1</v>
      </c>
      <c r="E787" s="2" t="s">
        <v>20</v>
      </c>
    </row>
    <row r="788" spans="2:5" x14ac:dyDescent="0.25">
      <c r="B788" s="2" t="s">
        <v>23</v>
      </c>
      <c r="C788" s="2">
        <v>500</v>
      </c>
      <c r="D788" s="2">
        <v>1</v>
      </c>
      <c r="E788" s="2" t="s">
        <v>20</v>
      </c>
    </row>
    <row r="789" spans="2:5" x14ac:dyDescent="0.25">
      <c r="B789" s="2" t="s">
        <v>18</v>
      </c>
      <c r="C789" s="2">
        <v>200</v>
      </c>
      <c r="D789" s="2">
        <v>4</v>
      </c>
      <c r="E789" s="2" t="s">
        <v>20</v>
      </c>
    </row>
    <row r="790" spans="2:5" x14ac:dyDescent="0.25">
      <c r="B790" s="2" t="s">
        <v>21</v>
      </c>
      <c r="C790" s="2">
        <v>100</v>
      </c>
      <c r="D790" s="2">
        <v>4</v>
      </c>
      <c r="E790" s="2" t="s">
        <v>17</v>
      </c>
    </row>
    <row r="791" spans="2:5" x14ac:dyDescent="0.25">
      <c r="B791" s="2" t="s">
        <v>23</v>
      </c>
      <c r="C791" s="2">
        <v>25</v>
      </c>
      <c r="D791" s="2">
        <v>1</v>
      </c>
      <c r="E791" s="2" t="s">
        <v>17</v>
      </c>
    </row>
    <row r="792" spans="2:5" x14ac:dyDescent="0.25">
      <c r="B792" s="2" t="s">
        <v>18</v>
      </c>
      <c r="C792" s="2">
        <v>900</v>
      </c>
      <c r="D792" s="2">
        <v>3</v>
      </c>
      <c r="E792" s="2" t="s">
        <v>20</v>
      </c>
    </row>
    <row r="793" spans="2:5" x14ac:dyDescent="0.25">
      <c r="B793" s="2" t="s">
        <v>21</v>
      </c>
      <c r="C793" s="2">
        <v>2000</v>
      </c>
      <c r="D793" s="2">
        <v>4</v>
      </c>
      <c r="E793" s="2" t="s">
        <v>20</v>
      </c>
    </row>
    <row r="794" spans="2:5" x14ac:dyDescent="0.25">
      <c r="B794" s="2" t="s">
        <v>21</v>
      </c>
      <c r="C794" s="2">
        <v>25</v>
      </c>
      <c r="D794" s="2">
        <v>1</v>
      </c>
      <c r="E794" s="2" t="s">
        <v>17</v>
      </c>
    </row>
    <row r="795" spans="2:5" x14ac:dyDescent="0.25">
      <c r="B795" s="2" t="s">
        <v>18</v>
      </c>
      <c r="C795" s="2">
        <v>25</v>
      </c>
      <c r="D795" s="2">
        <v>1</v>
      </c>
      <c r="E795" s="2" t="s">
        <v>20</v>
      </c>
    </row>
    <row r="796" spans="2:5" x14ac:dyDescent="0.25">
      <c r="B796" s="2" t="s">
        <v>18</v>
      </c>
      <c r="C796" s="2">
        <v>50</v>
      </c>
      <c r="D796" s="2">
        <v>1</v>
      </c>
      <c r="E796" s="2" t="s">
        <v>20</v>
      </c>
    </row>
    <row r="797" spans="2:5" x14ac:dyDescent="0.25">
      <c r="B797" s="2" t="s">
        <v>18</v>
      </c>
      <c r="C797" s="2">
        <v>30</v>
      </c>
      <c r="D797" s="2">
        <v>1</v>
      </c>
      <c r="E797" s="2" t="s">
        <v>17</v>
      </c>
    </row>
    <row r="798" spans="2:5" x14ac:dyDescent="0.25">
      <c r="B798" s="2" t="s">
        <v>18</v>
      </c>
      <c r="C798" s="2">
        <v>300</v>
      </c>
      <c r="D798" s="2">
        <v>1</v>
      </c>
      <c r="E798" s="2" t="s">
        <v>20</v>
      </c>
    </row>
    <row r="799" spans="2:5" x14ac:dyDescent="0.25">
      <c r="B799" s="2" t="s">
        <v>23</v>
      </c>
      <c r="C799" s="2">
        <v>300</v>
      </c>
      <c r="D799" s="2">
        <v>1</v>
      </c>
      <c r="E799" s="2" t="s">
        <v>17</v>
      </c>
    </row>
    <row r="800" spans="2:5" x14ac:dyDescent="0.25">
      <c r="B800" s="2" t="s">
        <v>18</v>
      </c>
      <c r="C800" s="2">
        <v>120</v>
      </c>
      <c r="D800" s="2">
        <v>4</v>
      </c>
      <c r="E800" s="2" t="s">
        <v>17</v>
      </c>
    </row>
    <row r="801" spans="2:5" x14ac:dyDescent="0.25">
      <c r="B801" s="2" t="s">
        <v>21</v>
      </c>
      <c r="C801" s="2">
        <v>75</v>
      </c>
      <c r="D801" s="2">
        <v>3</v>
      </c>
      <c r="E801" s="2" t="s">
        <v>17</v>
      </c>
    </row>
    <row r="802" spans="2:5" x14ac:dyDescent="0.25">
      <c r="B802" s="2" t="s">
        <v>21</v>
      </c>
      <c r="C802" s="2">
        <v>50</v>
      </c>
      <c r="D802" s="2">
        <v>1</v>
      </c>
      <c r="E802" s="2" t="s">
        <v>17</v>
      </c>
    </row>
    <row r="803" spans="2:5" x14ac:dyDescent="0.25">
      <c r="B803" s="2" t="s">
        <v>23</v>
      </c>
      <c r="C803" s="2">
        <v>100</v>
      </c>
      <c r="D803" s="2">
        <v>2</v>
      </c>
      <c r="E803" s="2" t="s">
        <v>17</v>
      </c>
    </row>
    <row r="804" spans="2:5" x14ac:dyDescent="0.25">
      <c r="B804" s="2" t="s">
        <v>21</v>
      </c>
      <c r="C804" s="2">
        <v>1200</v>
      </c>
      <c r="D804" s="2">
        <v>4</v>
      </c>
      <c r="E804" s="2" t="s">
        <v>17</v>
      </c>
    </row>
    <row r="805" spans="2:5" x14ac:dyDescent="0.25">
      <c r="B805" s="2" t="s">
        <v>21</v>
      </c>
      <c r="C805" s="2">
        <v>200</v>
      </c>
      <c r="D805" s="2">
        <v>4</v>
      </c>
      <c r="E805" s="2" t="s">
        <v>17</v>
      </c>
    </row>
    <row r="806" spans="2:5" x14ac:dyDescent="0.25">
      <c r="B806" s="2" t="s">
        <v>18</v>
      </c>
      <c r="C806" s="2">
        <v>30</v>
      </c>
      <c r="D806" s="2">
        <v>1</v>
      </c>
      <c r="E806" s="2" t="s">
        <v>20</v>
      </c>
    </row>
    <row r="807" spans="2:5" x14ac:dyDescent="0.25">
      <c r="B807" s="2" t="s">
        <v>21</v>
      </c>
      <c r="C807" s="2">
        <v>100</v>
      </c>
      <c r="D807" s="2">
        <v>4</v>
      </c>
      <c r="E807" s="2" t="s">
        <v>17</v>
      </c>
    </row>
    <row r="808" spans="2:5" x14ac:dyDescent="0.25">
      <c r="B808" s="2" t="s">
        <v>23</v>
      </c>
      <c r="C808" s="2">
        <v>30</v>
      </c>
      <c r="D808" s="2">
        <v>1</v>
      </c>
      <c r="E808" s="2" t="s">
        <v>17</v>
      </c>
    </row>
    <row r="809" spans="2:5" x14ac:dyDescent="0.25">
      <c r="B809" s="2" t="s">
        <v>18</v>
      </c>
      <c r="C809" s="2">
        <v>1500</v>
      </c>
      <c r="D809" s="2">
        <v>3</v>
      </c>
      <c r="E809" s="2" t="s">
        <v>20</v>
      </c>
    </row>
    <row r="810" spans="2:5" x14ac:dyDescent="0.25">
      <c r="B810" s="2" t="s">
        <v>18</v>
      </c>
      <c r="C810" s="2">
        <v>900</v>
      </c>
      <c r="D810" s="2">
        <v>3</v>
      </c>
      <c r="E810" s="2" t="s">
        <v>20</v>
      </c>
    </row>
    <row r="811" spans="2:5" x14ac:dyDescent="0.25">
      <c r="B811" s="2" t="s">
        <v>23</v>
      </c>
      <c r="C811" s="2">
        <v>200</v>
      </c>
      <c r="D811" s="2">
        <v>4</v>
      </c>
      <c r="E811" s="2" t="s">
        <v>20</v>
      </c>
    </row>
    <row r="812" spans="2:5" x14ac:dyDescent="0.25">
      <c r="B812" s="2" t="s">
        <v>18</v>
      </c>
      <c r="C812" s="2">
        <v>2000</v>
      </c>
      <c r="D812" s="2">
        <v>4</v>
      </c>
      <c r="E812" s="2" t="s">
        <v>17</v>
      </c>
    </row>
    <row r="813" spans="2:5" x14ac:dyDescent="0.25">
      <c r="B813" s="2" t="s">
        <v>18</v>
      </c>
      <c r="C813" s="2">
        <v>100</v>
      </c>
      <c r="D813" s="2">
        <v>2</v>
      </c>
      <c r="E813" s="2" t="s">
        <v>20</v>
      </c>
    </row>
    <row r="814" spans="2:5" x14ac:dyDescent="0.25">
      <c r="B814" s="2" t="s">
        <v>23</v>
      </c>
      <c r="C814" s="2">
        <v>100</v>
      </c>
      <c r="D814" s="2">
        <v>4</v>
      </c>
      <c r="E814" s="2" t="s">
        <v>17</v>
      </c>
    </row>
    <row r="815" spans="2:5" x14ac:dyDescent="0.25">
      <c r="B815" s="2" t="s">
        <v>18</v>
      </c>
      <c r="C815" s="2">
        <v>50</v>
      </c>
      <c r="D815" s="2">
        <v>2</v>
      </c>
      <c r="E815" s="2" t="s">
        <v>17</v>
      </c>
    </row>
    <row r="816" spans="2:5" x14ac:dyDescent="0.25">
      <c r="B816" s="2" t="s">
        <v>23</v>
      </c>
      <c r="C816" s="2">
        <v>75</v>
      </c>
      <c r="D816" s="2">
        <v>3</v>
      </c>
      <c r="E816" s="2" t="s">
        <v>17</v>
      </c>
    </row>
    <row r="817" spans="2:5" x14ac:dyDescent="0.25">
      <c r="B817" s="2" t="s">
        <v>23</v>
      </c>
      <c r="C817" s="2">
        <v>150</v>
      </c>
      <c r="D817" s="2">
        <v>3</v>
      </c>
      <c r="E817" s="2" t="s">
        <v>17</v>
      </c>
    </row>
    <row r="818" spans="2:5" x14ac:dyDescent="0.25">
      <c r="B818" s="2" t="s">
        <v>21</v>
      </c>
      <c r="C818" s="2">
        <v>500</v>
      </c>
      <c r="D818" s="2">
        <v>1</v>
      </c>
      <c r="E818" s="2" t="s">
        <v>20</v>
      </c>
    </row>
    <row r="819" spans="2:5" x14ac:dyDescent="0.25">
      <c r="B819" s="2" t="s">
        <v>21</v>
      </c>
      <c r="C819" s="2">
        <v>75</v>
      </c>
      <c r="D819" s="2">
        <v>3</v>
      </c>
      <c r="E819" s="2" t="s">
        <v>20</v>
      </c>
    </row>
    <row r="820" spans="2:5" x14ac:dyDescent="0.25">
      <c r="B820" s="2" t="s">
        <v>18</v>
      </c>
      <c r="C820" s="2">
        <v>1000</v>
      </c>
      <c r="D820" s="2">
        <v>2</v>
      </c>
      <c r="E820" s="2" t="s">
        <v>17</v>
      </c>
    </row>
    <row r="821" spans="2:5" x14ac:dyDescent="0.25">
      <c r="B821" s="2" t="s">
        <v>18</v>
      </c>
      <c r="C821" s="2">
        <v>200</v>
      </c>
      <c r="D821" s="2">
        <v>4</v>
      </c>
      <c r="E821" s="2" t="s">
        <v>17</v>
      </c>
    </row>
    <row r="822" spans="2:5" x14ac:dyDescent="0.25">
      <c r="B822" s="2" t="s">
        <v>23</v>
      </c>
      <c r="C822" s="2">
        <v>500</v>
      </c>
      <c r="D822" s="2">
        <v>1</v>
      </c>
      <c r="E822" s="2" t="s">
        <v>17</v>
      </c>
    </row>
    <row r="823" spans="2:5" x14ac:dyDescent="0.25">
      <c r="B823" s="2" t="s">
        <v>18</v>
      </c>
      <c r="C823" s="2">
        <v>100</v>
      </c>
      <c r="D823" s="2">
        <v>2</v>
      </c>
      <c r="E823" s="2" t="s">
        <v>20</v>
      </c>
    </row>
    <row r="824" spans="2:5" x14ac:dyDescent="0.25">
      <c r="B824" s="2" t="s">
        <v>23</v>
      </c>
      <c r="C824" s="2">
        <v>200</v>
      </c>
      <c r="D824" s="2">
        <v>4</v>
      </c>
      <c r="E824" s="2" t="s">
        <v>17</v>
      </c>
    </row>
    <row r="825" spans="2:5" x14ac:dyDescent="0.25">
      <c r="B825" s="2" t="s">
        <v>23</v>
      </c>
      <c r="C825" s="2">
        <v>300</v>
      </c>
      <c r="D825" s="2">
        <v>1</v>
      </c>
      <c r="E825" s="2" t="s">
        <v>17</v>
      </c>
    </row>
    <row r="826" spans="2:5" x14ac:dyDescent="0.25">
      <c r="B826" s="2" t="s">
        <v>18</v>
      </c>
      <c r="C826" s="2">
        <v>150</v>
      </c>
      <c r="D826" s="2">
        <v>3</v>
      </c>
      <c r="E826" s="2" t="s">
        <v>20</v>
      </c>
    </row>
    <row r="827" spans="2:5" x14ac:dyDescent="0.25">
      <c r="B827" s="2" t="s">
        <v>23</v>
      </c>
      <c r="C827" s="2">
        <v>100</v>
      </c>
      <c r="D827" s="2">
        <v>2</v>
      </c>
      <c r="E827" s="2" t="s">
        <v>20</v>
      </c>
    </row>
    <row r="828" spans="2:5" x14ac:dyDescent="0.25">
      <c r="B828" s="2" t="s">
        <v>21</v>
      </c>
      <c r="C828" s="2">
        <v>120</v>
      </c>
      <c r="D828" s="2">
        <v>4</v>
      </c>
      <c r="E828" s="2" t="s">
        <v>17</v>
      </c>
    </row>
    <row r="829" spans="2:5" x14ac:dyDescent="0.25">
      <c r="B829" s="2" t="s">
        <v>18</v>
      </c>
      <c r="C829" s="2">
        <v>25</v>
      </c>
      <c r="D829" s="2">
        <v>1</v>
      </c>
      <c r="E829" s="2" t="s">
        <v>20</v>
      </c>
    </row>
    <row r="830" spans="2:5" x14ac:dyDescent="0.25">
      <c r="B830" s="2" t="s">
        <v>21</v>
      </c>
      <c r="C830" s="2">
        <v>300</v>
      </c>
      <c r="D830" s="2">
        <v>1</v>
      </c>
      <c r="E830" s="2" t="s">
        <v>20</v>
      </c>
    </row>
    <row r="831" spans="2:5" x14ac:dyDescent="0.25">
      <c r="B831" s="2" t="s">
        <v>18</v>
      </c>
      <c r="C831" s="2">
        <v>900</v>
      </c>
      <c r="D831" s="2">
        <v>3</v>
      </c>
      <c r="E831" s="2" t="s">
        <v>17</v>
      </c>
    </row>
    <row r="832" spans="2:5" x14ac:dyDescent="0.25">
      <c r="B832" s="2" t="s">
        <v>23</v>
      </c>
      <c r="C832" s="2">
        <v>1200</v>
      </c>
      <c r="D832" s="2">
        <v>4</v>
      </c>
      <c r="E832" s="2" t="s">
        <v>20</v>
      </c>
    </row>
    <row r="833" spans="2:5" x14ac:dyDescent="0.25">
      <c r="B833" s="2" t="s">
        <v>18</v>
      </c>
      <c r="C833" s="2">
        <v>90</v>
      </c>
      <c r="D833" s="2">
        <v>3</v>
      </c>
      <c r="E833" s="2" t="s">
        <v>17</v>
      </c>
    </row>
    <row r="834" spans="2:5" x14ac:dyDescent="0.25">
      <c r="B834" s="2" t="s">
        <v>21</v>
      </c>
      <c r="C834" s="2">
        <v>150</v>
      </c>
      <c r="D834" s="2">
        <v>3</v>
      </c>
      <c r="E834" s="2" t="s">
        <v>20</v>
      </c>
    </row>
    <row r="835" spans="2:5" x14ac:dyDescent="0.25">
      <c r="B835" s="2" t="s">
        <v>23</v>
      </c>
      <c r="C835" s="2">
        <v>100</v>
      </c>
      <c r="D835" s="2">
        <v>4</v>
      </c>
      <c r="E835" s="2" t="s">
        <v>17</v>
      </c>
    </row>
    <row r="836" spans="2:5" x14ac:dyDescent="0.25">
      <c r="B836" s="2" t="s">
        <v>18</v>
      </c>
      <c r="C836" s="2">
        <v>2000</v>
      </c>
      <c r="D836" s="2">
        <v>4</v>
      </c>
      <c r="E836" s="2" t="s">
        <v>17</v>
      </c>
    </row>
    <row r="837" spans="2:5" x14ac:dyDescent="0.25">
      <c r="B837" s="2" t="s">
        <v>18</v>
      </c>
      <c r="C837" s="2">
        <v>200</v>
      </c>
      <c r="D837" s="2">
        <v>4</v>
      </c>
      <c r="E837" s="2" t="s">
        <v>17</v>
      </c>
    </row>
    <row r="838" spans="2:5" x14ac:dyDescent="0.25">
      <c r="B838" s="2" t="s">
        <v>18</v>
      </c>
      <c r="C838" s="2">
        <v>60</v>
      </c>
      <c r="D838" s="2">
        <v>2</v>
      </c>
      <c r="E838" s="2" t="s">
        <v>20</v>
      </c>
    </row>
    <row r="839" spans="2:5" x14ac:dyDescent="0.25">
      <c r="B839" s="2" t="s">
        <v>21</v>
      </c>
      <c r="C839" s="2">
        <v>200</v>
      </c>
      <c r="D839" s="2">
        <v>4</v>
      </c>
      <c r="E839" s="2" t="s">
        <v>17</v>
      </c>
    </row>
    <row r="840" spans="2:5" x14ac:dyDescent="0.25">
      <c r="B840" s="2" t="s">
        <v>21</v>
      </c>
      <c r="C840" s="2">
        <v>50</v>
      </c>
      <c r="D840" s="2">
        <v>1</v>
      </c>
      <c r="E840" s="2" t="s">
        <v>20</v>
      </c>
    </row>
    <row r="841" spans="2:5" x14ac:dyDescent="0.25">
      <c r="B841" s="2" t="s">
        <v>18</v>
      </c>
      <c r="C841" s="2">
        <v>90</v>
      </c>
      <c r="D841" s="2">
        <v>3</v>
      </c>
      <c r="E841" s="2" t="s">
        <v>17</v>
      </c>
    </row>
    <row r="842" spans="2:5" x14ac:dyDescent="0.25">
      <c r="B842" s="2" t="s">
        <v>23</v>
      </c>
      <c r="C842" s="2">
        <v>600</v>
      </c>
      <c r="D842" s="2">
        <v>2</v>
      </c>
      <c r="E842" s="2" t="s">
        <v>17</v>
      </c>
    </row>
    <row r="843" spans="2:5" x14ac:dyDescent="0.25">
      <c r="B843" s="2" t="s">
        <v>23</v>
      </c>
      <c r="C843" s="2">
        <v>1200</v>
      </c>
      <c r="D843" s="2">
        <v>4</v>
      </c>
      <c r="E843" s="2" t="s">
        <v>20</v>
      </c>
    </row>
    <row r="844" spans="2:5" x14ac:dyDescent="0.25">
      <c r="B844" s="2" t="s">
        <v>21</v>
      </c>
      <c r="C844" s="2">
        <v>50</v>
      </c>
      <c r="D844" s="2">
        <v>2</v>
      </c>
      <c r="E844" s="2" t="s">
        <v>17</v>
      </c>
    </row>
    <row r="845" spans="2:5" x14ac:dyDescent="0.25">
      <c r="B845" s="2" t="s">
        <v>23</v>
      </c>
      <c r="C845" s="2">
        <v>100</v>
      </c>
      <c r="D845" s="2">
        <v>4</v>
      </c>
      <c r="E845" s="2" t="s">
        <v>17</v>
      </c>
    </row>
    <row r="846" spans="2:5" x14ac:dyDescent="0.25">
      <c r="B846" s="2" t="s">
        <v>21</v>
      </c>
      <c r="C846" s="2">
        <v>600</v>
      </c>
      <c r="D846" s="2">
        <v>2</v>
      </c>
      <c r="E846" s="2" t="s">
        <v>20</v>
      </c>
    </row>
    <row r="847" spans="2:5" x14ac:dyDescent="0.25">
      <c r="B847" s="2" t="s">
        <v>18</v>
      </c>
      <c r="C847" s="2">
        <v>1500</v>
      </c>
      <c r="D847" s="2">
        <v>3</v>
      </c>
      <c r="E847" s="2" t="s">
        <v>17</v>
      </c>
    </row>
    <row r="848" spans="2:5" x14ac:dyDescent="0.25">
      <c r="B848" s="2" t="s">
        <v>21</v>
      </c>
      <c r="C848" s="2">
        <v>150</v>
      </c>
      <c r="D848" s="2">
        <v>3</v>
      </c>
      <c r="E848" s="2" t="s">
        <v>17</v>
      </c>
    </row>
    <row r="849" spans="2:5" x14ac:dyDescent="0.25">
      <c r="B849" s="2" t="s">
        <v>21</v>
      </c>
      <c r="C849" s="2">
        <v>500</v>
      </c>
      <c r="D849" s="2">
        <v>1</v>
      </c>
      <c r="E849" s="2" t="s">
        <v>17</v>
      </c>
    </row>
    <row r="850" spans="2:5" x14ac:dyDescent="0.25">
      <c r="B850" s="2" t="s">
        <v>18</v>
      </c>
      <c r="C850" s="2">
        <v>50</v>
      </c>
      <c r="D850" s="2">
        <v>1</v>
      </c>
      <c r="E850" s="2" t="s">
        <v>17</v>
      </c>
    </row>
    <row r="851" spans="2:5" x14ac:dyDescent="0.25">
      <c r="B851" s="2" t="s">
        <v>23</v>
      </c>
      <c r="C851" s="2">
        <v>1200</v>
      </c>
      <c r="D851" s="2">
        <v>4</v>
      </c>
      <c r="E851" s="2" t="s">
        <v>20</v>
      </c>
    </row>
    <row r="852" spans="2:5" x14ac:dyDescent="0.25">
      <c r="B852" s="2" t="s">
        <v>21</v>
      </c>
      <c r="C852" s="2">
        <v>75</v>
      </c>
      <c r="D852" s="2">
        <v>3</v>
      </c>
      <c r="E852" s="2" t="s">
        <v>20</v>
      </c>
    </row>
    <row r="853" spans="2:5" x14ac:dyDescent="0.25">
      <c r="B853" s="2" t="s">
        <v>21</v>
      </c>
      <c r="C853" s="2">
        <v>50</v>
      </c>
      <c r="D853" s="2">
        <v>2</v>
      </c>
      <c r="E853" s="2" t="s">
        <v>17</v>
      </c>
    </row>
    <row r="854" spans="2:5" x14ac:dyDescent="0.25">
      <c r="B854" s="2" t="s">
        <v>18</v>
      </c>
      <c r="C854" s="2">
        <v>1000</v>
      </c>
      <c r="D854" s="2">
        <v>2</v>
      </c>
      <c r="E854" s="2" t="s">
        <v>20</v>
      </c>
    </row>
    <row r="855" spans="2:5" x14ac:dyDescent="0.25">
      <c r="B855" s="2" t="s">
        <v>23</v>
      </c>
      <c r="C855" s="2">
        <v>50</v>
      </c>
      <c r="D855" s="2">
        <v>2</v>
      </c>
      <c r="E855" s="2" t="s">
        <v>17</v>
      </c>
    </row>
    <row r="856" spans="2:5" x14ac:dyDescent="0.25">
      <c r="B856" s="2" t="s">
        <v>21</v>
      </c>
      <c r="C856" s="2">
        <v>300</v>
      </c>
      <c r="D856" s="2">
        <v>1</v>
      </c>
      <c r="E856" s="2" t="s">
        <v>20</v>
      </c>
    </row>
    <row r="857" spans="2:5" x14ac:dyDescent="0.25">
      <c r="B857" s="2" t="s">
        <v>18</v>
      </c>
      <c r="C857" s="2">
        <v>1000</v>
      </c>
      <c r="D857" s="2">
        <v>2</v>
      </c>
      <c r="E857" s="2" t="s">
        <v>17</v>
      </c>
    </row>
    <row r="858" spans="2:5" x14ac:dyDescent="0.25">
      <c r="B858" s="2" t="s">
        <v>21</v>
      </c>
      <c r="C858" s="2">
        <v>50</v>
      </c>
      <c r="D858" s="2">
        <v>1</v>
      </c>
      <c r="E858" s="2" t="s">
        <v>17</v>
      </c>
    </row>
    <row r="859" spans="2:5" x14ac:dyDescent="0.25">
      <c r="B859" s="2" t="s">
        <v>18</v>
      </c>
      <c r="C859" s="2">
        <v>25</v>
      </c>
      <c r="D859" s="2">
        <v>1</v>
      </c>
      <c r="E859" s="2" t="s">
        <v>17</v>
      </c>
    </row>
    <row r="860" spans="2:5" x14ac:dyDescent="0.25">
      <c r="B860" s="2" t="s">
        <v>23</v>
      </c>
      <c r="C860" s="2">
        <v>120</v>
      </c>
      <c r="D860" s="2">
        <v>4</v>
      </c>
      <c r="E860" s="2" t="s">
        <v>17</v>
      </c>
    </row>
    <row r="861" spans="2:5" x14ac:dyDescent="0.25">
      <c r="B861" s="2" t="s">
        <v>23</v>
      </c>
      <c r="C861" s="2">
        <v>50</v>
      </c>
      <c r="D861" s="2">
        <v>2</v>
      </c>
      <c r="E861" s="2" t="s">
        <v>17</v>
      </c>
    </row>
    <row r="862" spans="2:5" x14ac:dyDescent="0.25">
      <c r="B862" s="2" t="s">
        <v>23</v>
      </c>
      <c r="C862" s="2">
        <v>100</v>
      </c>
      <c r="D862" s="2">
        <v>2</v>
      </c>
      <c r="E862" s="2" t="s">
        <v>17</v>
      </c>
    </row>
    <row r="863" spans="2:5" x14ac:dyDescent="0.25">
      <c r="B863" s="2" t="s">
        <v>23</v>
      </c>
      <c r="C863" s="2">
        <v>1500</v>
      </c>
      <c r="D863" s="2">
        <v>3</v>
      </c>
      <c r="E863" s="2" t="s">
        <v>20</v>
      </c>
    </row>
    <row r="864" spans="2:5" x14ac:dyDescent="0.25">
      <c r="B864" s="2" t="s">
        <v>21</v>
      </c>
      <c r="C864" s="2">
        <v>200</v>
      </c>
      <c r="D864" s="2">
        <v>4</v>
      </c>
      <c r="E864" s="2" t="s">
        <v>17</v>
      </c>
    </row>
    <row r="865" spans="2:5" x14ac:dyDescent="0.25">
      <c r="B865" s="2" t="s">
        <v>21</v>
      </c>
      <c r="C865" s="2">
        <v>90</v>
      </c>
      <c r="D865" s="2">
        <v>3</v>
      </c>
      <c r="E865" s="2" t="s">
        <v>20</v>
      </c>
    </row>
    <row r="866" spans="2:5" x14ac:dyDescent="0.25">
      <c r="B866" s="2" t="s">
        <v>23</v>
      </c>
      <c r="C866" s="2">
        <v>1200</v>
      </c>
      <c r="D866" s="2">
        <v>4</v>
      </c>
      <c r="E866" s="2" t="s">
        <v>17</v>
      </c>
    </row>
    <row r="867" spans="2:5" x14ac:dyDescent="0.25">
      <c r="B867" s="2" t="s">
        <v>23</v>
      </c>
      <c r="C867" s="2">
        <v>50</v>
      </c>
      <c r="D867" s="2">
        <v>2</v>
      </c>
      <c r="E867" s="2" t="s">
        <v>20</v>
      </c>
    </row>
    <row r="868" spans="2:5" x14ac:dyDescent="0.25">
      <c r="B868" s="2" t="s">
        <v>23</v>
      </c>
      <c r="C868" s="2">
        <v>500</v>
      </c>
      <c r="D868" s="2">
        <v>1</v>
      </c>
      <c r="E868" s="2" t="s">
        <v>20</v>
      </c>
    </row>
    <row r="869" spans="2:5" x14ac:dyDescent="0.25">
      <c r="B869" s="2" t="s">
        <v>21</v>
      </c>
      <c r="C869" s="2">
        <v>300</v>
      </c>
      <c r="D869" s="2">
        <v>1</v>
      </c>
      <c r="E869" s="2" t="s">
        <v>20</v>
      </c>
    </row>
    <row r="870" spans="2:5" x14ac:dyDescent="0.25">
      <c r="B870" s="2" t="s">
        <v>23</v>
      </c>
      <c r="C870" s="2">
        <v>50</v>
      </c>
      <c r="D870" s="2">
        <v>1</v>
      </c>
      <c r="E870" s="2" t="s">
        <v>17</v>
      </c>
    </row>
    <row r="871" spans="2:5" x14ac:dyDescent="0.25">
      <c r="B871" s="2" t="s">
        <v>23</v>
      </c>
      <c r="C871" s="2">
        <v>500</v>
      </c>
      <c r="D871" s="2">
        <v>1</v>
      </c>
      <c r="E871" s="2" t="s">
        <v>17</v>
      </c>
    </row>
    <row r="872" spans="2:5" x14ac:dyDescent="0.25">
      <c r="B872" s="2" t="s">
        <v>23</v>
      </c>
      <c r="C872" s="2">
        <v>300</v>
      </c>
      <c r="D872" s="2">
        <v>1</v>
      </c>
      <c r="E872" s="2" t="s">
        <v>20</v>
      </c>
    </row>
    <row r="873" spans="2:5" x14ac:dyDescent="0.25">
      <c r="B873" s="2" t="s">
        <v>18</v>
      </c>
      <c r="C873" s="2">
        <v>1500</v>
      </c>
      <c r="D873" s="2">
        <v>3</v>
      </c>
      <c r="E873" s="2" t="s">
        <v>17</v>
      </c>
    </row>
    <row r="874" spans="2:5" x14ac:dyDescent="0.25">
      <c r="B874" s="2" t="s">
        <v>23</v>
      </c>
      <c r="C874" s="2">
        <v>120</v>
      </c>
      <c r="D874" s="2">
        <v>4</v>
      </c>
      <c r="E874" s="2" t="s">
        <v>20</v>
      </c>
    </row>
    <row r="875" spans="2:5" x14ac:dyDescent="0.25">
      <c r="B875" s="2" t="s">
        <v>18</v>
      </c>
      <c r="C875" s="2">
        <v>60</v>
      </c>
      <c r="D875" s="2">
        <v>2</v>
      </c>
      <c r="E875" s="2" t="s">
        <v>17</v>
      </c>
    </row>
    <row r="876" spans="2:5" x14ac:dyDescent="0.25">
      <c r="B876" s="2" t="s">
        <v>18</v>
      </c>
      <c r="C876" s="2">
        <v>75</v>
      </c>
      <c r="D876" s="2">
        <v>3</v>
      </c>
      <c r="E876" s="2" t="s">
        <v>20</v>
      </c>
    </row>
    <row r="877" spans="2:5" x14ac:dyDescent="0.25">
      <c r="B877" s="2" t="s">
        <v>23</v>
      </c>
      <c r="C877" s="2">
        <v>100</v>
      </c>
      <c r="D877" s="2">
        <v>4</v>
      </c>
      <c r="E877" s="2" t="s">
        <v>20</v>
      </c>
    </row>
    <row r="878" spans="2:5" x14ac:dyDescent="0.25">
      <c r="B878" s="2" t="s">
        <v>18</v>
      </c>
      <c r="C878" s="2">
        <v>30</v>
      </c>
      <c r="D878" s="2">
        <v>1</v>
      </c>
      <c r="E878" s="2" t="s">
        <v>17</v>
      </c>
    </row>
    <row r="879" spans="2:5" x14ac:dyDescent="0.25">
      <c r="B879" s="2" t="s">
        <v>23</v>
      </c>
      <c r="C879" s="2">
        <v>2000</v>
      </c>
      <c r="D879" s="2">
        <v>4</v>
      </c>
      <c r="E879" s="2" t="s">
        <v>20</v>
      </c>
    </row>
    <row r="880" spans="2:5" x14ac:dyDescent="0.25">
      <c r="B880" s="2" t="s">
        <v>21</v>
      </c>
      <c r="C880" s="2">
        <v>120</v>
      </c>
      <c r="D880" s="2">
        <v>4</v>
      </c>
      <c r="E880" s="2" t="s">
        <v>17</v>
      </c>
    </row>
    <row r="881" spans="2:5" x14ac:dyDescent="0.25">
      <c r="B881" s="2" t="s">
        <v>21</v>
      </c>
      <c r="C881" s="2">
        <v>25</v>
      </c>
      <c r="D881" s="2">
        <v>1</v>
      </c>
      <c r="E881" s="2" t="s">
        <v>20</v>
      </c>
    </row>
    <row r="882" spans="2:5" x14ac:dyDescent="0.25">
      <c r="B882" s="2" t="s">
        <v>21</v>
      </c>
      <c r="C882" s="2">
        <v>30</v>
      </c>
      <c r="D882" s="2">
        <v>1</v>
      </c>
      <c r="E882" s="2" t="s">
        <v>20</v>
      </c>
    </row>
    <row r="883" spans="2:5" x14ac:dyDescent="0.25">
      <c r="B883" s="2" t="s">
        <v>21</v>
      </c>
      <c r="C883" s="2">
        <v>30</v>
      </c>
      <c r="D883" s="2">
        <v>1</v>
      </c>
      <c r="E883" s="2" t="s">
        <v>17</v>
      </c>
    </row>
    <row r="884" spans="2:5" x14ac:dyDescent="0.25">
      <c r="B884" s="2" t="s">
        <v>18</v>
      </c>
      <c r="C884" s="2">
        <v>1000</v>
      </c>
      <c r="D884" s="2">
        <v>2</v>
      </c>
      <c r="E884" s="2" t="s">
        <v>17</v>
      </c>
    </row>
    <row r="885" spans="2:5" x14ac:dyDescent="0.25">
      <c r="B885" s="2" t="s">
        <v>23</v>
      </c>
      <c r="C885" s="2">
        <v>300</v>
      </c>
      <c r="D885" s="2">
        <v>1</v>
      </c>
      <c r="E885" s="2" t="s">
        <v>17</v>
      </c>
    </row>
    <row r="886" spans="2:5" x14ac:dyDescent="0.25">
      <c r="B886" s="2" t="s">
        <v>23</v>
      </c>
      <c r="C886" s="2">
        <v>50</v>
      </c>
      <c r="D886" s="2">
        <v>2</v>
      </c>
      <c r="E886" s="2" t="s">
        <v>20</v>
      </c>
    </row>
    <row r="887" spans="2:5" x14ac:dyDescent="0.25">
      <c r="B887" s="2" t="s">
        <v>23</v>
      </c>
      <c r="C887" s="2">
        <v>500</v>
      </c>
      <c r="D887" s="2">
        <v>1</v>
      </c>
      <c r="E887" s="2" t="s">
        <v>17</v>
      </c>
    </row>
    <row r="888" spans="2:5" x14ac:dyDescent="0.25">
      <c r="B888" s="2" t="s">
        <v>21</v>
      </c>
      <c r="C888" s="2">
        <v>60</v>
      </c>
      <c r="D888" s="2">
        <v>2</v>
      </c>
      <c r="E888" s="2" t="s">
        <v>20</v>
      </c>
    </row>
    <row r="889" spans="2:5" x14ac:dyDescent="0.25">
      <c r="B889" s="2" t="s">
        <v>21</v>
      </c>
      <c r="C889" s="2">
        <v>120</v>
      </c>
      <c r="D889" s="2">
        <v>4</v>
      </c>
      <c r="E889" s="2" t="s">
        <v>20</v>
      </c>
    </row>
    <row r="890" spans="2:5" x14ac:dyDescent="0.25">
      <c r="B890" s="2" t="s">
        <v>23</v>
      </c>
      <c r="C890" s="2">
        <v>900</v>
      </c>
      <c r="D890" s="2">
        <v>3</v>
      </c>
      <c r="E890" s="2" t="s">
        <v>17</v>
      </c>
    </row>
    <row r="891" spans="2:5" x14ac:dyDescent="0.25">
      <c r="B891" s="2" t="s">
        <v>21</v>
      </c>
      <c r="C891" s="2">
        <v>100</v>
      </c>
      <c r="D891" s="2">
        <v>4</v>
      </c>
      <c r="E891" s="2" t="s">
        <v>17</v>
      </c>
    </row>
    <row r="892" spans="2:5" x14ac:dyDescent="0.25">
      <c r="B892" s="2" t="s">
        <v>23</v>
      </c>
      <c r="C892" s="2">
        <v>100</v>
      </c>
      <c r="D892" s="2">
        <v>4</v>
      </c>
      <c r="E892" s="2" t="s">
        <v>20</v>
      </c>
    </row>
    <row r="893" spans="2:5" x14ac:dyDescent="0.25">
      <c r="B893" s="2" t="s">
        <v>23</v>
      </c>
      <c r="C893" s="2">
        <v>50</v>
      </c>
      <c r="D893" s="2">
        <v>1</v>
      </c>
      <c r="E893" s="2" t="s">
        <v>20</v>
      </c>
    </row>
    <row r="894" spans="2:5" x14ac:dyDescent="0.25">
      <c r="B894" s="2" t="s">
        <v>23</v>
      </c>
      <c r="C894" s="2">
        <v>50</v>
      </c>
      <c r="D894" s="2">
        <v>2</v>
      </c>
      <c r="E894" s="2" t="s">
        <v>17</v>
      </c>
    </row>
    <row r="895" spans="2:5" x14ac:dyDescent="0.25">
      <c r="B895" s="2" t="s">
        <v>23</v>
      </c>
      <c r="C895" s="2">
        <v>900</v>
      </c>
      <c r="D895" s="2">
        <v>3</v>
      </c>
      <c r="E895" s="2" t="s">
        <v>17</v>
      </c>
    </row>
    <row r="896" spans="2:5" x14ac:dyDescent="0.25">
      <c r="B896" s="2" t="s">
        <v>23</v>
      </c>
      <c r="C896" s="2">
        <v>50</v>
      </c>
      <c r="D896" s="2">
        <v>1</v>
      </c>
      <c r="E896" s="2" t="s">
        <v>17</v>
      </c>
    </row>
    <row r="897" spans="2:5" x14ac:dyDescent="0.25">
      <c r="B897" s="2" t="s">
        <v>23</v>
      </c>
      <c r="C897" s="2">
        <v>50</v>
      </c>
      <c r="D897" s="2">
        <v>1</v>
      </c>
      <c r="E897" s="2" t="s">
        <v>17</v>
      </c>
    </row>
    <row r="898" spans="2:5" x14ac:dyDescent="0.25">
      <c r="B898" s="2" t="s">
        <v>23</v>
      </c>
      <c r="C898" s="2">
        <v>30</v>
      </c>
      <c r="D898" s="2">
        <v>1</v>
      </c>
      <c r="E898" s="2" t="s">
        <v>17</v>
      </c>
    </row>
    <row r="899" spans="2:5" x14ac:dyDescent="0.25">
      <c r="B899" s="2" t="s">
        <v>21</v>
      </c>
      <c r="C899" s="2">
        <v>120</v>
      </c>
      <c r="D899" s="2">
        <v>4</v>
      </c>
      <c r="E899" s="2" t="s">
        <v>20</v>
      </c>
    </row>
    <row r="900" spans="2:5" x14ac:dyDescent="0.25">
      <c r="B900" s="2" t="s">
        <v>23</v>
      </c>
      <c r="C900" s="2">
        <v>50</v>
      </c>
      <c r="D900" s="2">
        <v>2</v>
      </c>
      <c r="E900" s="2" t="s">
        <v>20</v>
      </c>
    </row>
    <row r="901" spans="2:5" x14ac:dyDescent="0.25">
      <c r="B901" s="2" t="s">
        <v>23</v>
      </c>
      <c r="C901" s="2">
        <v>100</v>
      </c>
      <c r="D901" s="2">
        <v>2</v>
      </c>
      <c r="E901" s="2" t="s">
        <v>20</v>
      </c>
    </row>
    <row r="902" spans="2:5" x14ac:dyDescent="0.25">
      <c r="B902" s="2" t="s">
        <v>21</v>
      </c>
      <c r="C902" s="2">
        <v>90</v>
      </c>
      <c r="D902" s="2">
        <v>3</v>
      </c>
      <c r="E902" s="2" t="s">
        <v>20</v>
      </c>
    </row>
    <row r="903" spans="2:5" x14ac:dyDescent="0.25">
      <c r="B903" s="2" t="s">
        <v>21</v>
      </c>
      <c r="C903" s="2">
        <v>600</v>
      </c>
      <c r="D903" s="2">
        <v>2</v>
      </c>
      <c r="E903" s="2" t="s">
        <v>17</v>
      </c>
    </row>
    <row r="904" spans="2:5" x14ac:dyDescent="0.25">
      <c r="B904" s="2" t="s">
        <v>21</v>
      </c>
      <c r="C904" s="2">
        <v>60</v>
      </c>
      <c r="D904" s="2">
        <v>2</v>
      </c>
      <c r="E904" s="2" t="s">
        <v>17</v>
      </c>
    </row>
    <row r="905" spans="2:5" x14ac:dyDescent="0.25">
      <c r="B905" s="2" t="s">
        <v>23</v>
      </c>
      <c r="C905" s="2">
        <v>30</v>
      </c>
      <c r="D905" s="2">
        <v>1</v>
      </c>
      <c r="E905" s="2" t="s">
        <v>17</v>
      </c>
    </row>
    <row r="906" spans="2:5" x14ac:dyDescent="0.25">
      <c r="B906" s="2" t="s">
        <v>18</v>
      </c>
      <c r="C906" s="2">
        <v>50</v>
      </c>
      <c r="D906" s="2">
        <v>1</v>
      </c>
      <c r="E906" s="2" t="s">
        <v>20</v>
      </c>
    </row>
    <row r="907" spans="2:5" x14ac:dyDescent="0.25">
      <c r="B907" s="2" t="s">
        <v>18</v>
      </c>
      <c r="C907" s="2">
        <v>200</v>
      </c>
      <c r="D907" s="2">
        <v>4</v>
      </c>
      <c r="E907" s="2" t="s">
        <v>20</v>
      </c>
    </row>
    <row r="908" spans="2:5" x14ac:dyDescent="0.25">
      <c r="B908" s="2" t="s">
        <v>21</v>
      </c>
      <c r="C908" s="2">
        <v>500</v>
      </c>
      <c r="D908" s="2">
        <v>1</v>
      </c>
      <c r="E908" s="2" t="s">
        <v>17</v>
      </c>
    </row>
    <row r="909" spans="2:5" x14ac:dyDescent="0.25">
      <c r="B909" s="2" t="s">
        <v>18</v>
      </c>
      <c r="C909" s="2">
        <v>300</v>
      </c>
      <c r="D909" s="2">
        <v>1</v>
      </c>
      <c r="E909" s="2" t="s">
        <v>17</v>
      </c>
    </row>
    <row r="910" spans="2:5" x14ac:dyDescent="0.25">
      <c r="B910" s="2" t="s">
        <v>21</v>
      </c>
      <c r="C910" s="2">
        <v>50</v>
      </c>
      <c r="D910" s="2">
        <v>1</v>
      </c>
      <c r="E910" s="2" t="s">
        <v>20</v>
      </c>
    </row>
    <row r="911" spans="2:5" x14ac:dyDescent="0.25">
      <c r="B911" s="2" t="s">
        <v>23</v>
      </c>
      <c r="C911" s="2">
        <v>25</v>
      </c>
      <c r="D911" s="2">
        <v>1</v>
      </c>
      <c r="E911" s="2" t="s">
        <v>20</v>
      </c>
    </row>
    <row r="912" spans="2:5" x14ac:dyDescent="0.25">
      <c r="B912" s="2" t="s">
        <v>18</v>
      </c>
      <c r="C912" s="2">
        <v>1200</v>
      </c>
      <c r="D912" s="2">
        <v>4</v>
      </c>
      <c r="E912" s="2" t="s">
        <v>17</v>
      </c>
    </row>
    <row r="913" spans="2:5" x14ac:dyDescent="0.25">
      <c r="B913" s="2" t="s">
        <v>23</v>
      </c>
      <c r="C913" s="2">
        <v>300</v>
      </c>
      <c r="D913" s="2">
        <v>1</v>
      </c>
      <c r="E913" s="2" t="s">
        <v>17</v>
      </c>
    </row>
    <row r="914" spans="2:5" x14ac:dyDescent="0.25">
      <c r="B914" s="2" t="s">
        <v>18</v>
      </c>
      <c r="C914" s="2">
        <v>150</v>
      </c>
      <c r="D914" s="2">
        <v>3</v>
      </c>
      <c r="E914" s="2" t="s">
        <v>20</v>
      </c>
    </row>
    <row r="915" spans="2:5" x14ac:dyDescent="0.25">
      <c r="B915" s="2" t="s">
        <v>23</v>
      </c>
      <c r="C915" s="2">
        <v>900</v>
      </c>
      <c r="D915" s="2">
        <v>3</v>
      </c>
      <c r="E915" s="2" t="s">
        <v>17</v>
      </c>
    </row>
    <row r="916" spans="2:5" x14ac:dyDescent="0.25">
      <c r="B916" s="2" t="s">
        <v>18</v>
      </c>
      <c r="C916" s="2">
        <v>150</v>
      </c>
      <c r="D916" s="2">
        <v>3</v>
      </c>
      <c r="E916" s="2" t="s">
        <v>17</v>
      </c>
    </row>
    <row r="917" spans="2:5" x14ac:dyDescent="0.25">
      <c r="B917" s="2" t="s">
        <v>23</v>
      </c>
      <c r="C917" s="2">
        <v>90</v>
      </c>
      <c r="D917" s="2">
        <v>3</v>
      </c>
      <c r="E917" s="2" t="s">
        <v>17</v>
      </c>
    </row>
    <row r="918" spans="2:5" x14ac:dyDescent="0.25">
      <c r="B918" s="2" t="s">
        <v>23</v>
      </c>
      <c r="C918" s="2">
        <v>500</v>
      </c>
      <c r="D918" s="2">
        <v>1</v>
      </c>
      <c r="E918" s="2" t="s">
        <v>20</v>
      </c>
    </row>
    <row r="919" spans="2:5" x14ac:dyDescent="0.25">
      <c r="B919" s="2" t="s">
        <v>18</v>
      </c>
      <c r="C919" s="2">
        <v>90</v>
      </c>
      <c r="D919" s="2">
        <v>3</v>
      </c>
      <c r="E919" s="2" t="s">
        <v>20</v>
      </c>
    </row>
    <row r="920" spans="2:5" x14ac:dyDescent="0.25">
      <c r="B920" s="2" t="s">
        <v>23</v>
      </c>
      <c r="C920" s="2">
        <v>50</v>
      </c>
      <c r="D920" s="2">
        <v>1</v>
      </c>
      <c r="E920" s="2" t="s">
        <v>20</v>
      </c>
    </row>
    <row r="921" spans="2:5" x14ac:dyDescent="0.25">
      <c r="B921" s="2" t="s">
        <v>23</v>
      </c>
      <c r="C921" s="2">
        <v>200</v>
      </c>
      <c r="D921" s="2">
        <v>4</v>
      </c>
      <c r="E921" s="2" t="s">
        <v>20</v>
      </c>
    </row>
    <row r="922" spans="2:5" x14ac:dyDescent="0.25">
      <c r="B922" s="2" t="s">
        <v>23</v>
      </c>
      <c r="C922" s="2">
        <v>90</v>
      </c>
      <c r="D922" s="2">
        <v>3</v>
      </c>
      <c r="E922" s="2" t="s">
        <v>20</v>
      </c>
    </row>
    <row r="923" spans="2:5" x14ac:dyDescent="0.25">
      <c r="B923" s="2" t="s">
        <v>18</v>
      </c>
      <c r="C923" s="2">
        <v>50</v>
      </c>
      <c r="D923" s="2">
        <v>2</v>
      </c>
      <c r="E923" s="2" t="s">
        <v>20</v>
      </c>
    </row>
    <row r="924" spans="2:5" x14ac:dyDescent="0.25">
      <c r="B924" s="2" t="s">
        <v>18</v>
      </c>
      <c r="C924" s="2">
        <v>75</v>
      </c>
      <c r="D924" s="2">
        <v>3</v>
      </c>
      <c r="E924" s="2" t="s">
        <v>20</v>
      </c>
    </row>
    <row r="925" spans="2:5" x14ac:dyDescent="0.25">
      <c r="B925" s="2" t="s">
        <v>23</v>
      </c>
      <c r="C925" s="2">
        <v>75</v>
      </c>
      <c r="D925" s="2">
        <v>3</v>
      </c>
      <c r="E925" s="2" t="s">
        <v>17</v>
      </c>
    </row>
    <row r="926" spans="2:5" x14ac:dyDescent="0.25">
      <c r="B926" s="2" t="s">
        <v>23</v>
      </c>
      <c r="C926" s="2">
        <v>50</v>
      </c>
      <c r="D926" s="2">
        <v>1</v>
      </c>
      <c r="E926" s="2" t="s">
        <v>17</v>
      </c>
    </row>
    <row r="927" spans="2:5" x14ac:dyDescent="0.25">
      <c r="B927" s="2" t="s">
        <v>18</v>
      </c>
      <c r="C927" s="2">
        <v>900</v>
      </c>
      <c r="D927" s="2">
        <v>3</v>
      </c>
      <c r="E927" s="2" t="s">
        <v>17</v>
      </c>
    </row>
    <row r="928" spans="2:5" x14ac:dyDescent="0.25">
      <c r="B928" s="2" t="s">
        <v>18</v>
      </c>
      <c r="C928" s="2">
        <v>100</v>
      </c>
      <c r="D928" s="2">
        <v>2</v>
      </c>
      <c r="E928" s="2" t="s">
        <v>17</v>
      </c>
    </row>
    <row r="929" spans="2:5" x14ac:dyDescent="0.25">
      <c r="B929" s="2" t="s">
        <v>23</v>
      </c>
      <c r="C929" s="2">
        <v>300</v>
      </c>
      <c r="D929" s="2">
        <v>1</v>
      </c>
      <c r="E929" s="2" t="s">
        <v>17</v>
      </c>
    </row>
    <row r="930" spans="2:5" x14ac:dyDescent="0.25">
      <c r="B930" s="2" t="s">
        <v>23</v>
      </c>
      <c r="C930" s="2">
        <v>30</v>
      </c>
      <c r="D930" s="2">
        <v>1</v>
      </c>
      <c r="E930" s="2" t="s">
        <v>17</v>
      </c>
    </row>
    <row r="931" spans="2:5" x14ac:dyDescent="0.25">
      <c r="B931" s="2" t="s">
        <v>23</v>
      </c>
      <c r="C931" s="2">
        <v>2000</v>
      </c>
      <c r="D931" s="2">
        <v>4</v>
      </c>
      <c r="E931" s="2" t="s">
        <v>17</v>
      </c>
    </row>
    <row r="932" spans="2:5" x14ac:dyDescent="0.25">
      <c r="B932" s="2" t="s">
        <v>21</v>
      </c>
      <c r="C932" s="2">
        <v>1200</v>
      </c>
      <c r="D932" s="2">
        <v>4</v>
      </c>
      <c r="E932" s="2" t="s">
        <v>20</v>
      </c>
    </row>
    <row r="933" spans="2:5" x14ac:dyDescent="0.25">
      <c r="B933" s="2" t="s">
        <v>18</v>
      </c>
      <c r="C933" s="2">
        <v>75</v>
      </c>
      <c r="D933" s="2">
        <v>3</v>
      </c>
      <c r="E933" s="2" t="s">
        <v>20</v>
      </c>
    </row>
    <row r="934" spans="2:5" x14ac:dyDescent="0.25">
      <c r="B934" s="2" t="s">
        <v>21</v>
      </c>
      <c r="C934" s="2">
        <v>200</v>
      </c>
      <c r="D934" s="2">
        <v>4</v>
      </c>
      <c r="E934" s="2" t="s">
        <v>17</v>
      </c>
    </row>
    <row r="935" spans="2:5" x14ac:dyDescent="0.25">
      <c r="B935" s="2" t="s">
        <v>18</v>
      </c>
      <c r="C935" s="2">
        <v>120</v>
      </c>
      <c r="D935" s="2">
        <v>4</v>
      </c>
      <c r="E935" s="2" t="s">
        <v>17</v>
      </c>
    </row>
    <row r="936" spans="2:5" x14ac:dyDescent="0.25">
      <c r="B936" s="2" t="s">
        <v>18</v>
      </c>
      <c r="C936" s="2">
        <v>100</v>
      </c>
      <c r="D936" s="2">
        <v>4</v>
      </c>
      <c r="E936" s="2" t="s">
        <v>20</v>
      </c>
    </row>
    <row r="937" spans="2:5" x14ac:dyDescent="0.25">
      <c r="B937" s="2" t="s">
        <v>18</v>
      </c>
      <c r="C937" s="2">
        <v>30</v>
      </c>
      <c r="D937" s="2">
        <v>1</v>
      </c>
      <c r="E937" s="2" t="s">
        <v>17</v>
      </c>
    </row>
    <row r="938" spans="2:5" x14ac:dyDescent="0.25">
      <c r="B938" s="2" t="s">
        <v>18</v>
      </c>
      <c r="C938" s="2">
        <v>500</v>
      </c>
      <c r="D938" s="2">
        <v>1</v>
      </c>
      <c r="E938" s="2" t="s">
        <v>17</v>
      </c>
    </row>
    <row r="939" spans="2:5" x14ac:dyDescent="0.25">
      <c r="B939" s="2" t="s">
        <v>18</v>
      </c>
      <c r="C939" s="2">
        <v>50</v>
      </c>
      <c r="D939" s="2">
        <v>1</v>
      </c>
      <c r="E939" s="2" t="s">
        <v>20</v>
      </c>
    </row>
    <row r="940" spans="2:5" x14ac:dyDescent="0.25">
      <c r="B940" s="2" t="s">
        <v>18</v>
      </c>
      <c r="C940" s="2">
        <v>200</v>
      </c>
      <c r="D940" s="2">
        <v>4</v>
      </c>
      <c r="E940" s="2" t="s">
        <v>17</v>
      </c>
    </row>
    <row r="941" spans="2:5" x14ac:dyDescent="0.25">
      <c r="B941" s="2" t="s">
        <v>18</v>
      </c>
      <c r="C941" s="2">
        <v>500</v>
      </c>
      <c r="D941" s="2">
        <v>1</v>
      </c>
      <c r="E941" s="2" t="s">
        <v>20</v>
      </c>
    </row>
    <row r="942" spans="2:5" x14ac:dyDescent="0.25">
      <c r="B942" s="2" t="s">
        <v>21</v>
      </c>
      <c r="C942" s="2">
        <v>200</v>
      </c>
      <c r="D942" s="2">
        <v>4</v>
      </c>
      <c r="E942" s="2" t="s">
        <v>17</v>
      </c>
    </row>
    <row r="943" spans="2:5" x14ac:dyDescent="0.25">
      <c r="B943" s="2" t="s">
        <v>23</v>
      </c>
      <c r="C943" s="2">
        <v>300</v>
      </c>
      <c r="D943" s="2">
        <v>1</v>
      </c>
      <c r="E943" s="2" t="s">
        <v>20</v>
      </c>
    </row>
    <row r="944" spans="2:5" x14ac:dyDescent="0.25">
      <c r="B944" s="2" t="s">
        <v>23</v>
      </c>
      <c r="C944" s="2">
        <v>30</v>
      </c>
      <c r="D944" s="2">
        <v>1</v>
      </c>
      <c r="E944" s="2" t="s">
        <v>20</v>
      </c>
    </row>
    <row r="945" spans="2:5" x14ac:dyDescent="0.25">
      <c r="B945" s="2" t="s">
        <v>21</v>
      </c>
      <c r="C945" s="2">
        <v>50</v>
      </c>
      <c r="D945" s="2">
        <v>2</v>
      </c>
      <c r="E945" s="2" t="s">
        <v>20</v>
      </c>
    </row>
    <row r="946" spans="2:5" x14ac:dyDescent="0.25">
      <c r="B946" s="2" t="s">
        <v>21</v>
      </c>
      <c r="C946" s="2">
        <v>1500</v>
      </c>
      <c r="D946" s="2">
        <v>3</v>
      </c>
      <c r="E946" s="2" t="s">
        <v>17</v>
      </c>
    </row>
    <row r="947" spans="2:5" x14ac:dyDescent="0.25">
      <c r="B947" s="2" t="s">
        <v>21</v>
      </c>
      <c r="C947" s="2">
        <v>1200</v>
      </c>
      <c r="D947" s="2">
        <v>4</v>
      </c>
      <c r="E947" s="2" t="s">
        <v>20</v>
      </c>
    </row>
    <row r="948" spans="2:5" x14ac:dyDescent="0.25">
      <c r="B948" s="2" t="s">
        <v>21</v>
      </c>
      <c r="C948" s="2">
        <v>50</v>
      </c>
      <c r="D948" s="2">
        <v>2</v>
      </c>
      <c r="E948" s="2" t="s">
        <v>17</v>
      </c>
    </row>
    <row r="949" spans="2:5" x14ac:dyDescent="0.25">
      <c r="B949" s="2" t="s">
        <v>18</v>
      </c>
      <c r="C949" s="2">
        <v>25</v>
      </c>
      <c r="D949" s="2">
        <v>1</v>
      </c>
      <c r="E949" s="2" t="s">
        <v>17</v>
      </c>
    </row>
    <row r="950" spans="2:5" x14ac:dyDescent="0.25">
      <c r="B950" s="2" t="s">
        <v>23</v>
      </c>
      <c r="C950" s="2">
        <v>2000</v>
      </c>
      <c r="D950" s="2">
        <v>4</v>
      </c>
      <c r="E950" s="2" t="s">
        <v>17</v>
      </c>
    </row>
    <row r="951" spans="2:5" x14ac:dyDescent="0.25">
      <c r="B951" s="2" t="s">
        <v>18</v>
      </c>
      <c r="C951" s="2">
        <v>300</v>
      </c>
      <c r="D951" s="2">
        <v>1</v>
      </c>
      <c r="E951" s="2" t="s">
        <v>17</v>
      </c>
    </row>
    <row r="952" spans="2:5" x14ac:dyDescent="0.25">
      <c r="B952" s="2" t="s">
        <v>23</v>
      </c>
      <c r="C952" s="2">
        <v>75</v>
      </c>
      <c r="D952" s="2">
        <v>3</v>
      </c>
      <c r="E952" s="2" t="s">
        <v>20</v>
      </c>
    </row>
    <row r="953" spans="2:5" x14ac:dyDescent="0.25">
      <c r="B953" s="2" t="s">
        <v>23</v>
      </c>
      <c r="C953" s="2">
        <v>50</v>
      </c>
      <c r="D953" s="2">
        <v>2</v>
      </c>
      <c r="E953" s="2" t="s">
        <v>20</v>
      </c>
    </row>
    <row r="954" spans="2:5" x14ac:dyDescent="0.25">
      <c r="B954" s="2" t="s">
        <v>21</v>
      </c>
      <c r="C954" s="2">
        <v>900</v>
      </c>
      <c r="D954" s="2">
        <v>3</v>
      </c>
      <c r="E954" s="2" t="s">
        <v>17</v>
      </c>
    </row>
    <row r="955" spans="2:5" x14ac:dyDescent="0.25">
      <c r="B955" s="2" t="s">
        <v>18</v>
      </c>
      <c r="C955" s="2">
        <v>100</v>
      </c>
      <c r="D955" s="2">
        <v>2</v>
      </c>
      <c r="E955" s="2" t="s">
        <v>17</v>
      </c>
    </row>
    <row r="956" spans="2:5" x14ac:dyDescent="0.25">
      <c r="B956" s="2" t="s">
        <v>21</v>
      </c>
      <c r="C956" s="2">
        <v>25</v>
      </c>
      <c r="D956" s="2">
        <v>1</v>
      </c>
      <c r="E956" s="2" t="s">
        <v>20</v>
      </c>
    </row>
    <row r="957" spans="2:5" x14ac:dyDescent="0.25">
      <c r="B957" s="2" t="s">
        <v>18</v>
      </c>
      <c r="C957" s="2">
        <v>90</v>
      </c>
      <c r="D957" s="2">
        <v>3</v>
      </c>
      <c r="E957" s="2" t="s">
        <v>17</v>
      </c>
    </row>
    <row r="958" spans="2:5" x14ac:dyDescent="0.25">
      <c r="B958" s="2" t="s">
        <v>23</v>
      </c>
      <c r="C958" s="2">
        <v>900</v>
      </c>
      <c r="D958" s="2">
        <v>3</v>
      </c>
      <c r="E958" s="2" t="s">
        <v>20</v>
      </c>
    </row>
    <row r="959" spans="2:5" x14ac:dyDescent="0.25">
      <c r="B959" s="2" t="s">
        <v>21</v>
      </c>
      <c r="C959" s="2">
        <v>25</v>
      </c>
      <c r="D959" s="2">
        <v>1</v>
      </c>
      <c r="E959" s="2" t="s">
        <v>17</v>
      </c>
    </row>
    <row r="960" spans="2:5" x14ac:dyDescent="0.25">
      <c r="B960" s="2" t="s">
        <v>21</v>
      </c>
      <c r="C960" s="2">
        <v>1500</v>
      </c>
      <c r="D960" s="2">
        <v>3</v>
      </c>
      <c r="E960" s="2" t="s">
        <v>17</v>
      </c>
    </row>
    <row r="961" spans="2:5" x14ac:dyDescent="0.25">
      <c r="B961" s="2" t="s">
        <v>23</v>
      </c>
      <c r="C961" s="2">
        <v>120</v>
      </c>
      <c r="D961" s="2">
        <v>4</v>
      </c>
      <c r="E961" s="2" t="s">
        <v>20</v>
      </c>
    </row>
    <row r="962" spans="2:5" x14ac:dyDescent="0.25">
      <c r="B962" s="2" t="s">
        <v>23</v>
      </c>
      <c r="C962" s="2">
        <v>50</v>
      </c>
      <c r="D962" s="2">
        <v>2</v>
      </c>
      <c r="E962" s="2" t="s">
        <v>17</v>
      </c>
    </row>
    <row r="963" spans="2:5" x14ac:dyDescent="0.25">
      <c r="B963" s="2" t="s">
        <v>23</v>
      </c>
      <c r="C963" s="2">
        <v>60</v>
      </c>
      <c r="D963" s="2">
        <v>2</v>
      </c>
      <c r="E963" s="2" t="s">
        <v>20</v>
      </c>
    </row>
    <row r="964" spans="2:5" x14ac:dyDescent="0.25">
      <c r="B964" s="2" t="s">
        <v>21</v>
      </c>
      <c r="C964" s="2">
        <v>60</v>
      </c>
      <c r="D964" s="2">
        <v>2</v>
      </c>
      <c r="E964" s="2" t="s">
        <v>17</v>
      </c>
    </row>
    <row r="965" spans="2:5" x14ac:dyDescent="0.25">
      <c r="B965" s="2" t="s">
        <v>18</v>
      </c>
      <c r="C965" s="2">
        <v>200</v>
      </c>
      <c r="D965" s="2">
        <v>4</v>
      </c>
      <c r="E965" s="2" t="s">
        <v>17</v>
      </c>
    </row>
    <row r="966" spans="2:5" x14ac:dyDescent="0.25">
      <c r="B966" s="2" t="s">
        <v>21</v>
      </c>
      <c r="C966" s="2">
        <v>60</v>
      </c>
      <c r="D966" s="2">
        <v>2</v>
      </c>
      <c r="E966" s="2" t="s">
        <v>17</v>
      </c>
    </row>
    <row r="967" spans="2:5" x14ac:dyDescent="0.25">
      <c r="B967" s="2" t="s">
        <v>18</v>
      </c>
      <c r="C967" s="2">
        <v>50</v>
      </c>
      <c r="D967" s="2">
        <v>1</v>
      </c>
      <c r="E967" s="2" t="s">
        <v>20</v>
      </c>
    </row>
    <row r="968" spans="2:5" x14ac:dyDescent="0.25">
      <c r="B968" s="2" t="s">
        <v>21</v>
      </c>
      <c r="C968" s="2">
        <v>900</v>
      </c>
      <c r="D968" s="2">
        <v>3</v>
      </c>
      <c r="E968" s="2" t="s">
        <v>17</v>
      </c>
    </row>
    <row r="969" spans="2:5" x14ac:dyDescent="0.25">
      <c r="B969" s="2" t="s">
        <v>21</v>
      </c>
      <c r="C969" s="2">
        <v>200</v>
      </c>
      <c r="D969" s="2">
        <v>4</v>
      </c>
      <c r="E969" s="2" t="s">
        <v>17</v>
      </c>
    </row>
    <row r="970" spans="2:5" x14ac:dyDescent="0.25">
      <c r="B970" s="2" t="s">
        <v>23</v>
      </c>
      <c r="C970" s="2">
        <v>1000</v>
      </c>
      <c r="D970" s="2">
        <v>2</v>
      </c>
      <c r="E970" s="2" t="s">
        <v>17</v>
      </c>
    </row>
    <row r="971" spans="2:5" x14ac:dyDescent="0.25">
      <c r="B971" s="2" t="s">
        <v>18</v>
      </c>
      <c r="C971" s="2">
        <v>25</v>
      </c>
      <c r="D971" s="2">
        <v>1</v>
      </c>
      <c r="E971" s="2" t="s">
        <v>17</v>
      </c>
    </row>
    <row r="972" spans="2:5" x14ac:dyDescent="0.25">
      <c r="B972" s="2" t="s">
        <v>21</v>
      </c>
      <c r="C972" s="2">
        <v>900</v>
      </c>
      <c r="D972" s="2">
        <v>3</v>
      </c>
      <c r="E972" s="2" t="s">
        <v>20</v>
      </c>
    </row>
    <row r="973" spans="2:5" x14ac:dyDescent="0.25">
      <c r="B973" s="2" t="s">
        <v>21</v>
      </c>
      <c r="C973" s="2">
        <v>900</v>
      </c>
      <c r="D973" s="2">
        <v>3</v>
      </c>
      <c r="E973" s="2" t="s">
        <v>20</v>
      </c>
    </row>
    <row r="974" spans="2:5" x14ac:dyDescent="0.25">
      <c r="B974" s="2" t="s">
        <v>23</v>
      </c>
      <c r="C974" s="2">
        <v>2000</v>
      </c>
      <c r="D974" s="2">
        <v>4</v>
      </c>
      <c r="E974" s="2" t="s">
        <v>17</v>
      </c>
    </row>
    <row r="975" spans="2:5" x14ac:dyDescent="0.25">
      <c r="B975" s="2" t="s">
        <v>23</v>
      </c>
      <c r="C975" s="2">
        <v>200</v>
      </c>
      <c r="D975" s="2">
        <v>4</v>
      </c>
      <c r="E975" s="2" t="s">
        <v>20</v>
      </c>
    </row>
    <row r="976" spans="2:5" x14ac:dyDescent="0.25">
      <c r="B976" s="2" t="s">
        <v>18</v>
      </c>
      <c r="C976" s="2">
        <v>100</v>
      </c>
      <c r="D976" s="2">
        <v>4</v>
      </c>
      <c r="E976" s="2" t="s">
        <v>17</v>
      </c>
    </row>
    <row r="977" spans="2:5" x14ac:dyDescent="0.25">
      <c r="B977" s="2" t="s">
        <v>21</v>
      </c>
      <c r="C977" s="2">
        <v>50</v>
      </c>
      <c r="D977" s="2">
        <v>1</v>
      </c>
      <c r="E977" s="2" t="s">
        <v>17</v>
      </c>
    </row>
    <row r="978" spans="2:5" x14ac:dyDescent="0.25">
      <c r="B978" s="2" t="s">
        <v>18</v>
      </c>
      <c r="C978" s="2">
        <v>30</v>
      </c>
      <c r="D978" s="2">
        <v>1</v>
      </c>
      <c r="E978" s="2" t="s">
        <v>17</v>
      </c>
    </row>
    <row r="979" spans="2:5" x14ac:dyDescent="0.25">
      <c r="B979" s="2" t="s">
        <v>21</v>
      </c>
      <c r="C979" s="2">
        <v>200</v>
      </c>
      <c r="D979" s="2">
        <v>4</v>
      </c>
      <c r="E979" s="2" t="s">
        <v>20</v>
      </c>
    </row>
    <row r="980" spans="2:5" x14ac:dyDescent="0.25">
      <c r="B980" s="2" t="s">
        <v>18</v>
      </c>
      <c r="C980" s="2">
        <v>600</v>
      </c>
      <c r="D980" s="2">
        <v>2</v>
      </c>
      <c r="E980" s="2" t="s">
        <v>20</v>
      </c>
    </row>
    <row r="981" spans="2:5" x14ac:dyDescent="0.25">
      <c r="B981" s="2" t="s">
        <v>23</v>
      </c>
      <c r="C981" s="2">
        <v>75</v>
      </c>
      <c r="D981" s="2">
        <v>3</v>
      </c>
      <c r="E981" s="2" t="s">
        <v>20</v>
      </c>
    </row>
    <row r="982" spans="2:5" x14ac:dyDescent="0.25">
      <c r="B982" s="2" t="s">
        <v>21</v>
      </c>
      <c r="C982" s="2">
        <v>150</v>
      </c>
      <c r="D982" s="2">
        <v>3</v>
      </c>
      <c r="E982" s="2" t="s">
        <v>20</v>
      </c>
    </row>
    <row r="983" spans="2:5" x14ac:dyDescent="0.25">
      <c r="B983" s="2" t="s">
        <v>18</v>
      </c>
      <c r="C983" s="2">
        <v>25</v>
      </c>
      <c r="D983" s="2">
        <v>1</v>
      </c>
      <c r="E983" s="2" t="s">
        <v>20</v>
      </c>
    </row>
    <row r="984" spans="2:5" x14ac:dyDescent="0.25">
      <c r="B984" s="2" t="s">
        <v>23</v>
      </c>
      <c r="C984" s="2">
        <v>75</v>
      </c>
      <c r="D984" s="2">
        <v>3</v>
      </c>
      <c r="E984" s="2" t="s">
        <v>20</v>
      </c>
    </row>
    <row r="985" spans="2:5" x14ac:dyDescent="0.25">
      <c r="B985" s="2" t="s">
        <v>23</v>
      </c>
      <c r="C985" s="2">
        <v>60</v>
      </c>
      <c r="D985" s="2">
        <v>2</v>
      </c>
      <c r="E985" s="2" t="s">
        <v>20</v>
      </c>
    </row>
    <row r="986" spans="2:5" x14ac:dyDescent="0.25">
      <c r="B986" s="2" t="s">
        <v>18</v>
      </c>
      <c r="C986" s="2">
        <v>90</v>
      </c>
      <c r="D986" s="2">
        <v>3</v>
      </c>
      <c r="E986" s="2" t="s">
        <v>20</v>
      </c>
    </row>
    <row r="987" spans="2:5" x14ac:dyDescent="0.25">
      <c r="B987" s="2" t="s">
        <v>21</v>
      </c>
      <c r="C987" s="2">
        <v>300</v>
      </c>
      <c r="D987" s="2">
        <v>1</v>
      </c>
      <c r="E987" s="2" t="s">
        <v>20</v>
      </c>
    </row>
    <row r="988" spans="2:5" x14ac:dyDescent="0.25">
      <c r="B988" s="2" t="s">
        <v>21</v>
      </c>
      <c r="C988" s="2">
        <v>500</v>
      </c>
      <c r="D988" s="2">
        <v>1</v>
      </c>
      <c r="E988" s="2" t="s">
        <v>17</v>
      </c>
    </row>
    <row r="989" spans="2:5" x14ac:dyDescent="0.25">
      <c r="B989" s="2" t="s">
        <v>23</v>
      </c>
      <c r="C989" s="2">
        <v>50</v>
      </c>
      <c r="D989" s="2">
        <v>2</v>
      </c>
      <c r="E989" s="2" t="s">
        <v>20</v>
      </c>
    </row>
    <row r="990" spans="2:5" x14ac:dyDescent="0.25">
      <c r="B990" s="2" t="s">
        <v>21</v>
      </c>
      <c r="C990" s="2">
        <v>1000</v>
      </c>
      <c r="D990" s="2">
        <v>2</v>
      </c>
      <c r="E990" s="2" t="s">
        <v>20</v>
      </c>
    </row>
    <row r="991" spans="2:5" x14ac:dyDescent="0.25">
      <c r="B991" s="2" t="s">
        <v>21</v>
      </c>
      <c r="C991" s="2">
        <v>900</v>
      </c>
      <c r="D991" s="2">
        <v>3</v>
      </c>
      <c r="E991" s="2" t="s">
        <v>20</v>
      </c>
    </row>
    <row r="992" spans="2:5" x14ac:dyDescent="0.25">
      <c r="B992" s="2" t="s">
        <v>21</v>
      </c>
      <c r="C992" s="2">
        <v>75</v>
      </c>
      <c r="D992" s="2">
        <v>3</v>
      </c>
      <c r="E992" s="2" t="s">
        <v>20</v>
      </c>
    </row>
    <row r="993" spans="2:5" x14ac:dyDescent="0.25">
      <c r="B993" s="2" t="s">
        <v>23</v>
      </c>
      <c r="C993" s="2">
        <v>25</v>
      </c>
      <c r="D993" s="2">
        <v>1</v>
      </c>
      <c r="E993" s="2" t="s">
        <v>20</v>
      </c>
    </row>
    <row r="994" spans="2:5" x14ac:dyDescent="0.25">
      <c r="B994" s="2" t="s">
        <v>18</v>
      </c>
      <c r="C994" s="2">
        <v>1000</v>
      </c>
      <c r="D994" s="2">
        <v>2</v>
      </c>
      <c r="E994" s="2" t="s">
        <v>20</v>
      </c>
    </row>
    <row r="995" spans="2:5" x14ac:dyDescent="0.25">
      <c r="B995" s="2" t="s">
        <v>21</v>
      </c>
      <c r="C995" s="2">
        <v>100</v>
      </c>
      <c r="D995" s="2">
        <v>2</v>
      </c>
      <c r="E995" s="2" t="s">
        <v>20</v>
      </c>
    </row>
    <row r="996" spans="2:5" x14ac:dyDescent="0.25">
      <c r="B996" s="2" t="s">
        <v>23</v>
      </c>
      <c r="C996" s="2">
        <v>60</v>
      </c>
      <c r="D996" s="2">
        <v>2</v>
      </c>
      <c r="E996" s="2" t="s">
        <v>20</v>
      </c>
    </row>
    <row r="997" spans="2:5" x14ac:dyDescent="0.25">
      <c r="B997" s="2" t="s">
        <v>23</v>
      </c>
      <c r="C997" s="2">
        <v>150</v>
      </c>
      <c r="D997" s="2">
        <v>3</v>
      </c>
      <c r="E997" s="2" t="s">
        <v>20</v>
      </c>
    </row>
    <row r="998" spans="2:5" x14ac:dyDescent="0.25">
      <c r="B998" s="2" t="s">
        <v>18</v>
      </c>
      <c r="C998" s="2">
        <v>1000</v>
      </c>
      <c r="D998" s="2">
        <v>2</v>
      </c>
      <c r="E998" s="2" t="s">
        <v>20</v>
      </c>
    </row>
    <row r="999" spans="2:5" x14ac:dyDescent="0.25">
      <c r="B999" s="2" t="s">
        <v>21</v>
      </c>
      <c r="C999" s="2">
        <v>30</v>
      </c>
      <c r="D999" s="2">
        <v>1</v>
      </c>
      <c r="E999" s="2" t="s">
        <v>20</v>
      </c>
    </row>
    <row r="1000" spans="2:5" x14ac:dyDescent="0.25">
      <c r="B1000" s="2" t="s">
        <v>21</v>
      </c>
      <c r="C1000" s="2">
        <v>50</v>
      </c>
      <c r="D1000" s="2">
        <v>1</v>
      </c>
      <c r="E1000" s="2" t="s">
        <v>17</v>
      </c>
    </row>
    <row r="1001" spans="2:5" x14ac:dyDescent="0.25">
      <c r="B1001" s="2" t="s">
        <v>18</v>
      </c>
      <c r="C1001" s="2">
        <v>90</v>
      </c>
      <c r="D1001" s="2">
        <v>3</v>
      </c>
      <c r="E1001" s="2" t="s">
        <v>17</v>
      </c>
    </row>
    <row r="1002" spans="2:5" x14ac:dyDescent="0.25">
      <c r="B1002" s="2" t="s">
        <v>18</v>
      </c>
      <c r="C1002" s="2">
        <v>100</v>
      </c>
      <c r="D1002" s="2">
        <v>4</v>
      </c>
      <c r="E1002" s="2" t="s">
        <v>20</v>
      </c>
    </row>
    <row r="1003" spans="2:5" x14ac:dyDescent="0.25">
      <c r="B1003" s="2" t="s">
        <v>23</v>
      </c>
      <c r="C1003" s="2">
        <v>150</v>
      </c>
      <c r="D1003" s="2">
        <v>3</v>
      </c>
      <c r="E1003" s="2" t="s">
        <v>20</v>
      </c>
    </row>
    <row r="1004" spans="2:5" x14ac:dyDescent="0.25">
      <c r="B1004" s="2" t="s">
        <v>23</v>
      </c>
      <c r="C1004" s="2">
        <v>120</v>
      </c>
      <c r="D1004" s="2">
        <v>4</v>
      </c>
      <c r="E1004" s="2" t="s">
        <v>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8CFD1-C48D-4E62-895F-AE1AA74DA3F6}">
  <dimension ref="H1"/>
  <sheetViews>
    <sheetView zoomScale="106" zoomScaleNormal="106" workbookViewId="0">
      <selection activeCell="AC8" sqref="AC8"/>
    </sheetView>
  </sheetViews>
  <sheetFormatPr defaultRowHeight="15" x14ac:dyDescent="0.25"/>
  <sheetData>
    <row r="1" spans="8:8" ht="16.5" x14ac:dyDescent="0.3">
      <c r="H1" s="7" t="s">
        <v>1032</v>
      </c>
    </row>
  </sheetData>
  <sheetProtection selectLockedCells="1" selectUnlockedCells="1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4370C-3853-440C-86BE-F0128427A328}">
  <dimension ref="E1:H9"/>
  <sheetViews>
    <sheetView workbookViewId="0">
      <selection activeCell="E13" sqref="E13"/>
    </sheetView>
  </sheetViews>
  <sheetFormatPr defaultRowHeight="15" x14ac:dyDescent="0.25"/>
  <cols>
    <col min="5" max="5" width="26.85546875" bestFit="1" customWidth="1"/>
    <col min="8" max="8" width="10.7109375" bestFit="1" customWidth="1"/>
  </cols>
  <sheetData>
    <row r="1" spans="5:8" ht="16.5" x14ac:dyDescent="0.3">
      <c r="G1" s="7" t="s">
        <v>1033</v>
      </c>
    </row>
    <row r="5" spans="5:8" x14ac:dyDescent="0.25">
      <c r="E5" t="s">
        <v>1034</v>
      </c>
      <c r="G5" t="s">
        <v>23</v>
      </c>
      <c r="H5">
        <v>156905</v>
      </c>
    </row>
    <row r="6" spans="5:8" x14ac:dyDescent="0.25">
      <c r="E6" t="s">
        <v>1035</v>
      </c>
      <c r="G6" t="s">
        <v>18</v>
      </c>
      <c r="H6">
        <v>143515</v>
      </c>
    </row>
    <row r="7" spans="5:8" x14ac:dyDescent="0.25">
      <c r="E7" t="s">
        <v>1036</v>
      </c>
      <c r="G7">
        <v>41</v>
      </c>
    </row>
    <row r="8" spans="5:8" x14ac:dyDescent="0.25">
      <c r="E8" t="s">
        <v>1037</v>
      </c>
      <c r="G8">
        <v>2000</v>
      </c>
    </row>
    <row r="9" spans="5:8" x14ac:dyDescent="0.25">
      <c r="E9" t="s">
        <v>1038</v>
      </c>
      <c r="G9" t="s">
        <v>21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6c3218e-4f60-4bb0-8151-e96d0b927d61}" enabled="0" method="" siteId="{f6c3218e-4f60-4bb0-8151-e96d0b927d6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Dataset Understanding</vt:lpstr>
      <vt:lpstr>Cleaned Data</vt:lpstr>
      <vt:lpstr>Data Quality Check</vt:lpstr>
      <vt:lpstr>Basic Analysis</vt:lpstr>
      <vt:lpstr>Filtering &amp; Sorting Screenshots</vt:lpstr>
      <vt:lpstr>Simple Category-Based Analysis</vt:lpstr>
      <vt:lpstr>Charts</vt:lpstr>
      <vt:lpstr>Observations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Vasu, Deepika</dc:creator>
  <cp:lastModifiedBy>Vasu, Deepika</cp:lastModifiedBy>
  <dcterms:created xsi:type="dcterms:W3CDTF">2026-06-25T03:43:18Z</dcterms:created>
  <dcterms:modified xsi:type="dcterms:W3CDTF">2026-06-30T05:19:32Z</dcterms:modified>
</cp:coreProperties>
</file>